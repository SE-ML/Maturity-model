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ceyha\Desktop\"/>
    </mc:Choice>
  </mc:AlternateContent>
  <xr:revisionPtr revIDLastSave="0" documentId="13_ncr:1_{AE7E4290-C45E-48CA-A2FB-01835EFFD2F4}" xr6:coauthVersionLast="47" xr6:coauthVersionMax="47" xr10:uidLastSave="{00000000-0000-0000-0000-000000000000}"/>
  <workbookProtection workbookAlgorithmName="SHA-512" workbookHashValue="ModNhkQdoT6BpkOT/9AfuA0HFXOZGMVk7UC7irR9WaZvgk9kAVM2OYGztzgaQCPShlzb8cHWqZ4OrkYXp+A/2A==" workbookSaltValue="TZesoPb1gCV2sEoXpSx+9g==" workbookSpinCount="100000" lockStructure="1"/>
  <bookViews>
    <workbookView xWindow="-98" yWindow="-98" windowWidth="21795" windowHeight="12975" xr2:uid="{B2A6C4E0-ABB2-4342-9DDE-789C68718C28}"/>
  </bookViews>
  <sheets>
    <sheet name="Introduction" sheetId="11" r:id="rId1"/>
    <sheet name="Domain repres. assessment" sheetId="4" r:id="rId2"/>
    <sheet name="Maturity repres. assessment" sheetId="3" r:id="rId3"/>
    <sheet name="Domain repres. adoption" sheetId="13" r:id="rId4"/>
    <sheet name="Maturity repres. adoption" sheetId="14" r:id="rId5"/>
    <sheet name="Assessment report" sheetId="8" r:id="rId6"/>
    <sheet name="Process improvement" sheetId="10" r:id="rId7"/>
    <sheet name="Hidden2" sheetId="15" state="veryHidden" r:id="rId8"/>
    <sheet name="Hidden" sheetId="12" state="veryHidden" r:id="rId9"/>
  </sheets>
  <definedNames>
    <definedName name="_xlnm._FilterDatabase" localSheetId="4" hidden="1">'Maturity repres. adoption'!$D$4:$D$52</definedName>
    <definedName name="_xlnm._FilterDatabase" localSheetId="2" hidden="1">'Maturity repres. assessment'!$C$4:$C$52</definedName>
    <definedName name="adoptionAssessmentDomain" localSheetId="3">'Domain repres. adoption'!$D$5,'Domain repres. adoption'!$D$7,'Domain repres. adoption'!$D$8,'Domain repres. adoption'!$D$10,'Domain repres. adoption'!$D$11,'Domain repres. adoption'!$D$12,'Domain repres. adoption'!$D$13,'Domain repres. adoption'!$D$14,'Domain repres. adoption'!$D$18,'Domain repres. adoption'!$D$17,'Domain repres. adoption'!$D$19,'Domain repres. adoption'!$D$20,'Domain repres. adoption'!$D$21,'Domain repres. adoption'!$D$22,'Domain repres. adoption'!$D$24,'Domain repres. adoption'!$D$25,'Domain repres. adoption'!$D$26,'Domain repres. adoption'!$D$27,'Domain repres. adoption'!$D$29,'Domain repres. adoption'!$D$30,'Domain repres. adoption'!$D$31,'Domain repres. adoption'!$D$32,'Domain repres. adoption'!$D$33,'Domain repres. adoption'!$D$36,'Domain repres. adoption'!$D$38,'Domain repres. adoption'!$D$39,'Domain repres. adoption'!$D$41,'Domain repres. adoption'!$D$44,'Domain repres. adoption'!$D$46,'Domain repres. adoption'!$D$47,'Domain repres. adoption'!$D$48,'Domain repres. adoption'!$D$49,'Domain repres. adoption'!$D$50,'Domain repres. adoption'!$D$52,'Domain repres. adoption'!$D$55,'Domain repres. adoption'!$D$57,'Domain repres. adoption'!$D$58,'Domain repres. adoption'!$D$60,'Domain repres. adoption'!$D$63,'Domain repres. adoption'!$D$64,'Domain repres. adoption'!$D$66,'Domain repres. adoption'!$D$67,'Domain repres. adoption'!$D$68,'Domain repres. adoption'!$D$70,'Domain repres. adoption'!$D$71</definedName>
    <definedName name="adoptionAssessmentDomain">'Domain repres. assessment'!$C$5,'Domain repres. assessment'!$C$7,'Domain repres. assessment'!$C$8,'Domain repres. assessment'!$C$10,'Domain repres. assessment'!$C$11,'Domain repres. assessment'!$C$12,'Domain repres. assessment'!$C$13,'Domain repres. assessment'!$C$14,'Domain repres. assessment'!$C$18,'Domain repres. assessment'!$C$17,'Domain repres. assessment'!$C$19,'Domain repres. assessment'!$C$20,'Domain repres. assessment'!$C$21,'Domain repres. assessment'!$C$22,'Domain repres. assessment'!$C$24,'Domain repres. assessment'!$C$25,'Domain repres. assessment'!$C$26,'Domain repres. assessment'!$C$27,'Domain repres. assessment'!$C$29,'Domain repres. assessment'!$C$30,'Domain repres. assessment'!$C$31,'Domain repres. assessment'!$C$32,'Domain repres. assessment'!$C$33,'Domain repres. assessment'!$C$36,'Domain repres. assessment'!$C$38,'Domain repres. assessment'!$C$39,'Domain repres. assessment'!$C$41,'Domain repres. assessment'!$C$44,'Domain repres. assessment'!$C$46,'Domain repres. assessment'!$C$47,'Domain repres. assessment'!$C$48,'Domain repres. assessment'!$C$49,'Domain repres. assessment'!$C$50,'Domain repres. assessment'!$C$52,'Domain repres. assessment'!$C$55,'Domain repres. assessment'!$C$57,'Domain repres. assessment'!$C$58,'Domain repres. assessment'!$C$60,'Domain repres. assessment'!$C$63,'Domain repres. assessment'!$C$64,'Domain repres. assessment'!$C$66,'Domain repres. assessment'!$C$67,'Domain repres. assessment'!$C$68,'Domain repres. assessment'!$C$70,'Domain repres. assessment'!$C$71</definedName>
    <definedName name="_xlnm.Print_Area" localSheetId="3">'Domain repres. adoption'!$A$2:$C$70</definedName>
    <definedName name="_xlnm.Print_Area" localSheetId="1">'Domain repres. assessment'!$A$2:$B$70</definedName>
    <definedName name="list">'Process improvement'!$A$28:$A$48</definedName>
    <definedName name="PracticeListNoEmpty">OFFSET(Hidden2!$B$1,0,0,COUNTA(Hidden2!$B$1:$B$251)-1,1)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51" i="15" l="1"/>
  <c r="A246" i="15"/>
  <c r="A247" i="15"/>
  <c r="A248" i="15"/>
  <c r="A249" i="15"/>
  <c r="A250" i="15"/>
  <c r="A228" i="15"/>
  <c r="A229" i="15"/>
  <c r="A230" i="15"/>
  <c r="A231" i="15"/>
  <c r="A232" i="15"/>
  <c r="A233" i="15"/>
  <c r="A234" i="15"/>
  <c r="A235" i="15"/>
  <c r="A236" i="15"/>
  <c r="A237" i="15"/>
  <c r="A238" i="15"/>
  <c r="A239" i="15"/>
  <c r="A240" i="15"/>
  <c r="A241" i="15"/>
  <c r="A242" i="15"/>
  <c r="A243" i="15"/>
  <c r="A244" i="15"/>
  <c r="A245" i="15"/>
  <c r="A227" i="15"/>
  <c r="A226" i="15"/>
  <c r="A220" i="15"/>
  <c r="A221" i="15"/>
  <c r="A222" i="15"/>
  <c r="A223" i="15"/>
  <c r="A224" i="15"/>
  <c r="A225" i="15"/>
  <c r="A203" i="15"/>
  <c r="A204" i="15"/>
  <c r="A205" i="15"/>
  <c r="A206" i="15"/>
  <c r="A207" i="15"/>
  <c r="A208" i="15"/>
  <c r="A209" i="15"/>
  <c r="A210" i="15"/>
  <c r="A211" i="15"/>
  <c r="A212" i="15"/>
  <c r="A213" i="15"/>
  <c r="A214" i="15"/>
  <c r="A215" i="15"/>
  <c r="A216" i="15"/>
  <c r="A217" i="15"/>
  <c r="A218" i="15"/>
  <c r="A219" i="15"/>
  <c r="A202" i="15"/>
  <c r="A199" i="15"/>
  <c r="A200" i="15"/>
  <c r="A201" i="15"/>
  <c r="A193" i="15"/>
  <c r="A194" i="15"/>
  <c r="A195" i="15"/>
  <c r="A196" i="15"/>
  <c r="A197" i="15"/>
  <c r="A198" i="15"/>
  <c r="A178" i="15"/>
  <c r="A179" i="15"/>
  <c r="A180" i="15"/>
  <c r="A181" i="15"/>
  <c r="A182" i="15"/>
  <c r="A183" i="15"/>
  <c r="A184" i="15"/>
  <c r="A185" i="15"/>
  <c r="A186" i="15"/>
  <c r="A187" i="15"/>
  <c r="A188" i="15"/>
  <c r="A189" i="15"/>
  <c r="A190" i="15"/>
  <c r="A191" i="15"/>
  <c r="A192" i="15"/>
  <c r="A177" i="15"/>
  <c r="A167" i="15"/>
  <c r="A168" i="15"/>
  <c r="A169" i="15"/>
  <c r="A170" i="15"/>
  <c r="A171" i="15"/>
  <c r="A172" i="15"/>
  <c r="A173" i="15"/>
  <c r="A174" i="15"/>
  <c r="A175" i="15"/>
  <c r="A176" i="15"/>
  <c r="A153" i="15"/>
  <c r="A154" i="15"/>
  <c r="A155" i="15"/>
  <c r="A156" i="15"/>
  <c r="A157" i="15"/>
  <c r="A158" i="15"/>
  <c r="A159" i="15"/>
  <c r="A160" i="15"/>
  <c r="A161" i="15"/>
  <c r="A162" i="15"/>
  <c r="A163" i="15"/>
  <c r="A164" i="15"/>
  <c r="A165" i="15"/>
  <c r="A166" i="15"/>
  <c r="A152"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27" i="15"/>
  <c r="A126" i="15"/>
  <c r="A119" i="15"/>
  <c r="A120" i="15"/>
  <c r="A121" i="15"/>
  <c r="A122" i="15"/>
  <c r="A123" i="15"/>
  <c r="A124" i="15"/>
  <c r="A125" i="15"/>
  <c r="A107" i="15"/>
  <c r="A108" i="15"/>
  <c r="A109" i="15"/>
  <c r="A110" i="15"/>
  <c r="A111" i="15"/>
  <c r="A112" i="15"/>
  <c r="A113" i="15"/>
  <c r="A114" i="15"/>
  <c r="A115" i="15"/>
  <c r="A116" i="15"/>
  <c r="A117" i="15"/>
  <c r="A118" i="15"/>
  <c r="A106" i="15"/>
  <c r="A105" i="15"/>
  <c r="A98" i="15"/>
  <c r="A99" i="15"/>
  <c r="A100" i="15"/>
  <c r="A101" i="15"/>
  <c r="A102" i="15"/>
  <c r="A103" i="15"/>
  <c r="A104" i="15"/>
  <c r="A86" i="15"/>
  <c r="A87" i="15"/>
  <c r="A88" i="15"/>
  <c r="A89" i="15"/>
  <c r="A90" i="15"/>
  <c r="A91" i="15"/>
  <c r="A92" i="15"/>
  <c r="A93" i="15"/>
  <c r="A94" i="15"/>
  <c r="A95" i="15"/>
  <c r="A96" i="15"/>
  <c r="A97" i="15"/>
  <c r="A85" i="15"/>
  <c r="A84" i="15"/>
  <c r="A81" i="15"/>
  <c r="A82" i="15"/>
  <c r="A83" i="15"/>
  <c r="A65" i="15"/>
  <c r="A66" i="15"/>
  <c r="A67" i="15"/>
  <c r="A68" i="15"/>
  <c r="A69" i="15"/>
  <c r="A70" i="15"/>
  <c r="A71" i="15"/>
  <c r="A72" i="15"/>
  <c r="A73" i="15"/>
  <c r="A74" i="15"/>
  <c r="A75" i="15"/>
  <c r="A76" i="15"/>
  <c r="A77" i="15"/>
  <c r="A78" i="15"/>
  <c r="A79" i="15"/>
  <c r="A80" i="15"/>
  <c r="A64" i="15"/>
  <c r="A63" i="15"/>
  <c r="A61" i="15"/>
  <c r="A62" i="15"/>
  <c r="A44" i="15"/>
  <c r="A45" i="15"/>
  <c r="A46" i="15"/>
  <c r="A47" i="15"/>
  <c r="A48" i="15"/>
  <c r="A49" i="15"/>
  <c r="A50" i="15"/>
  <c r="A51" i="15"/>
  <c r="A52" i="15"/>
  <c r="A53" i="15"/>
  <c r="A54" i="15"/>
  <c r="A55" i="15"/>
  <c r="A56" i="15"/>
  <c r="A57" i="15"/>
  <c r="A58" i="15"/>
  <c r="A59" i="15"/>
  <c r="A60" i="15"/>
  <c r="A43" i="15"/>
  <c r="A41" i="15"/>
  <c r="A42" i="15"/>
  <c r="A39" i="15"/>
  <c r="A40" i="15"/>
  <c r="A23" i="15"/>
  <c r="A24" i="15"/>
  <c r="A25" i="15"/>
  <c r="A26" i="15"/>
  <c r="A27" i="15"/>
  <c r="A28" i="15"/>
  <c r="A29" i="15"/>
  <c r="A30" i="15"/>
  <c r="A31" i="15"/>
  <c r="A32" i="15"/>
  <c r="A33" i="15"/>
  <c r="A34" i="15"/>
  <c r="A35" i="15"/>
  <c r="A36" i="15"/>
  <c r="A37" i="15"/>
  <c r="A38" i="15"/>
  <c r="A22" i="15"/>
  <c r="A3" i="15"/>
  <c r="A4" i="15"/>
  <c r="A5" i="15"/>
  <c r="A6" i="15"/>
  <c r="A7" i="15"/>
  <c r="A8" i="15"/>
  <c r="A9" i="15"/>
  <c r="A10" i="15"/>
  <c r="A11" i="15"/>
  <c r="A12" i="15"/>
  <c r="A13" i="15"/>
  <c r="A14" i="15"/>
  <c r="A15" i="15"/>
  <c r="A16" i="15"/>
  <c r="A17" i="15"/>
  <c r="A18" i="15"/>
  <c r="A19" i="15"/>
  <c r="A20" i="15"/>
  <c r="A21" i="15"/>
  <c r="A2" i="15"/>
  <c r="A1" i="15"/>
  <c r="B3" i="12"/>
  <c r="B2" i="12"/>
  <c r="D52" i="14"/>
  <c r="D51" i="14"/>
  <c r="D50" i="14"/>
  <c r="D49" i="14"/>
  <c r="D48" i="14"/>
  <c r="D47" i="14"/>
  <c r="D46" i="14"/>
  <c r="D45" i="14"/>
  <c r="D44" i="14"/>
  <c r="D43" i="14"/>
  <c r="D41" i="14"/>
  <c r="D40" i="14"/>
  <c r="D39" i="14"/>
  <c r="D38" i="14"/>
  <c r="D37" i="14"/>
  <c r="D36" i="14"/>
  <c r="D35" i="14"/>
  <c r="D34" i="14"/>
  <c r="D33" i="14"/>
  <c r="D32" i="14"/>
  <c r="D30" i="14"/>
  <c r="D29" i="14"/>
  <c r="D28" i="14"/>
  <c r="D27" i="14"/>
  <c r="D26" i="14"/>
  <c r="D25" i="14"/>
  <c r="D24" i="14"/>
  <c r="D23" i="14"/>
  <c r="D22" i="14"/>
  <c r="D21" i="14"/>
  <c r="D20" i="14"/>
  <c r="D19" i="14"/>
  <c r="D17" i="14"/>
  <c r="D16" i="14"/>
  <c r="D15" i="14"/>
  <c r="D14" i="14"/>
  <c r="D13" i="14"/>
  <c r="D11" i="14"/>
  <c r="D10" i="14"/>
  <c r="D9" i="14"/>
  <c r="D8" i="14"/>
  <c r="D7" i="14"/>
  <c r="D6" i="14"/>
  <c r="D5" i="14"/>
  <c r="D4" i="14"/>
  <c r="D71" i="13"/>
  <c r="D70" i="13"/>
  <c r="D68" i="13"/>
  <c r="D67" i="13"/>
  <c r="D66" i="13"/>
  <c r="D64" i="13"/>
  <c r="D63" i="13"/>
  <c r="D60" i="13"/>
  <c r="D58" i="13"/>
  <c r="D57" i="13"/>
  <c r="D55" i="13"/>
  <c r="D52" i="13"/>
  <c r="D50" i="13"/>
  <c r="D49" i="13"/>
  <c r="D48" i="13"/>
  <c r="D47" i="13"/>
  <c r="D46" i="13"/>
  <c r="D44" i="13"/>
  <c r="D41" i="13"/>
  <c r="D39" i="13"/>
  <c r="D38" i="13"/>
  <c r="D36" i="13"/>
  <c r="D33" i="13"/>
  <c r="D32" i="13"/>
  <c r="D31" i="13"/>
  <c r="D30" i="13"/>
  <c r="D29" i="13"/>
  <c r="D27" i="13"/>
  <c r="D26" i="13"/>
  <c r="D25" i="13"/>
  <c r="D24" i="13"/>
  <c r="D22" i="13"/>
  <c r="D21" i="13"/>
  <c r="D20" i="13"/>
  <c r="D19" i="13"/>
  <c r="D18" i="13"/>
  <c r="D17" i="13"/>
  <c r="D14" i="13"/>
  <c r="D13" i="13"/>
  <c r="D12" i="13"/>
  <c r="D11" i="13"/>
  <c r="D10" i="13"/>
  <c r="D8" i="13"/>
  <c r="D7" i="13"/>
  <c r="D5" i="13"/>
  <c r="A10" i="12"/>
  <c r="A11" i="12"/>
  <c r="A12" i="12"/>
  <c r="A13" i="12"/>
  <c r="A14" i="12"/>
  <c r="A9" i="12"/>
  <c r="B4" i="12"/>
  <c r="B5" i="12"/>
  <c r="B6" i="12"/>
  <c r="B1" i="12"/>
  <c r="A2" i="12"/>
  <c r="A3" i="12"/>
  <c r="A4" i="12"/>
  <c r="A5" i="12"/>
  <c r="A6" i="12"/>
  <c r="A1" i="12"/>
  <c r="B1" i="15" l="1" a="1"/>
  <c r="B1" i="1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<sst xmlns="http://schemas.openxmlformats.org/spreadsheetml/2006/main" count="509" uniqueCount="178">
  <si>
    <t>ID</t>
  </si>
  <si>
    <t>Practice adoption</t>
  </si>
  <si>
    <t>Adoption percentile</t>
  </si>
  <si>
    <t>TRAIN1.1</t>
  </si>
  <si>
    <t>TRAIN1.2</t>
  </si>
  <si>
    <t>-</t>
  </si>
  <si>
    <t>TEAM1.1</t>
  </si>
  <si>
    <t>DAT1.1</t>
  </si>
  <si>
    <t>TRAIN1.3</t>
  </si>
  <si>
    <t>TRAIN1.6</t>
  </si>
  <si>
    <t>TRAIN1.5</t>
  </si>
  <si>
    <t>TRAIN1.4</t>
  </si>
  <si>
    <t>DAT2.1</t>
  </si>
  <si>
    <t>DEPLOY1.1</t>
  </si>
  <si>
    <t>TEAM2.1</t>
  </si>
  <si>
    <t>TEAM2.2</t>
  </si>
  <si>
    <t>DAT2.2</t>
  </si>
  <si>
    <t>DEPLOY2.1</t>
  </si>
  <si>
    <t>DEPLOY2.2</t>
  </si>
  <si>
    <t>DEPLOY2.3</t>
  </si>
  <si>
    <t>DEPLOY2.4</t>
  </si>
  <si>
    <t>DEPLOY2.5</t>
  </si>
  <si>
    <t>TRAIN2.3</t>
  </si>
  <si>
    <t>TRAIN2.4</t>
  </si>
  <si>
    <t>CODE1.1</t>
  </si>
  <si>
    <t>TRAIN2.1</t>
  </si>
  <si>
    <t>TRAIN2.2</t>
  </si>
  <si>
    <t>GOVERN1.1</t>
  </si>
  <si>
    <t>GOVERN1.2</t>
  </si>
  <si>
    <t>DAT3.1</t>
  </si>
  <si>
    <t>CODE2.1</t>
  </si>
  <si>
    <t>CODE2.2</t>
  </si>
  <si>
    <t>DAT3.2</t>
  </si>
  <si>
    <t>DAT3.3</t>
  </si>
  <si>
    <t>DAT3.4</t>
  </si>
  <si>
    <t>GOVERN2.1</t>
  </si>
  <si>
    <t>GOVERN2.2</t>
  </si>
  <si>
    <t>GOVERN2.3</t>
  </si>
  <si>
    <t>DAT3.5</t>
  </si>
  <si>
    <t>CODE3.1</t>
  </si>
  <si>
    <t>TRAIN3.1</t>
  </si>
  <si>
    <t>TRAIN3.2</t>
  </si>
  <si>
    <t>TRAIN3.3</t>
  </si>
  <si>
    <t>TRAIN3.4</t>
  </si>
  <si>
    <t>TRAIN3.5</t>
  </si>
  <si>
    <t>TEAM3.1</t>
  </si>
  <si>
    <t>GOVERN3.1</t>
  </si>
  <si>
    <t>GOVERN3.2</t>
  </si>
  <si>
    <t>LEVEL 6 - Perfected</t>
  </si>
  <si>
    <t>LEVEL 2 - Basic</t>
  </si>
  <si>
    <t>LEVEL 4 - Optimised</t>
  </si>
  <si>
    <t>LEVEL 5 - Proactively optimised</t>
  </si>
  <si>
    <t>Notes</t>
  </si>
  <si>
    <t>Adoption assessment</t>
  </si>
  <si>
    <t>LEVEL 3 - Progressed</t>
  </si>
  <si>
    <t>DATA</t>
  </si>
  <si>
    <t>LEVEL 1 - Beginner</t>
  </si>
  <si>
    <t>LEVEL 2 - Intermediate</t>
  </si>
  <si>
    <t>LEVEL 3 - Advanced</t>
  </si>
  <si>
    <t>TRAINING</t>
  </si>
  <si>
    <t>CODING</t>
  </si>
  <si>
    <t>DEPLOYMENT</t>
  </si>
  <si>
    <t>DEPLOY3.1</t>
  </si>
  <si>
    <t>TEAM</t>
  </si>
  <si>
    <t>GOVERNANCE</t>
  </si>
  <si>
    <t>Team profile</t>
  </si>
  <si>
    <t>Organisation</t>
  </si>
  <si>
    <t>Team</t>
  </si>
  <si>
    <t xml:space="preserve">Department </t>
  </si>
  <si>
    <t>ML application</t>
  </si>
  <si>
    <t>Organisation type</t>
  </si>
  <si>
    <t>Domain</t>
  </si>
  <si>
    <t>Maturity</t>
  </si>
  <si>
    <t>Data</t>
  </si>
  <si>
    <t>Training</t>
  </si>
  <si>
    <t>Coding</t>
  </si>
  <si>
    <t>Deployment</t>
  </si>
  <si>
    <t>Governance</t>
  </si>
  <si>
    <t>Overall maturity</t>
  </si>
  <si>
    <t>Used representation(s)</t>
  </si>
  <si>
    <t>Domain representation</t>
  </si>
  <si>
    <t>Maturity representation</t>
  </si>
  <si>
    <t>Desired maturity</t>
  </si>
  <si>
    <t>Level 2</t>
  </si>
  <si>
    <t>Level 3</t>
  </si>
  <si>
    <t>Level 4</t>
  </si>
  <si>
    <t>Level 5</t>
  </si>
  <si>
    <t>Level 6</t>
  </si>
  <si>
    <t>Practice</t>
  </si>
  <si>
    <t>Adoption at end</t>
  </si>
  <si>
    <t>Phase 4</t>
  </si>
  <si>
    <t>DOMAIN REPRESENTATION - ASSESSMENT SHEET</t>
  </si>
  <si>
    <t>MATURITY REPRESENTATION - ASSESSMENT SHEET</t>
  </si>
  <si>
    <t xml:space="preserve">ASSESSMENT REPORT </t>
  </si>
  <si>
    <t>Assessment information</t>
  </si>
  <si>
    <t>Assessors</t>
  </si>
  <si>
    <t>Assessment date</t>
  </si>
  <si>
    <t xml:space="preserve"> Domain representation</t>
  </si>
  <si>
    <t>PROCESS IMPROVEMENT</t>
  </si>
  <si>
    <t>Practices of which adoption needs to be improved for achieving set desired maturity targets</t>
  </si>
  <si>
    <t>Model description</t>
  </si>
  <si>
    <t>Contents</t>
  </si>
  <si>
    <t>License</t>
  </si>
  <si>
    <t>Workbook instructions</t>
  </si>
  <si>
    <t>Additional information</t>
  </si>
  <si>
    <t>Phase 1</t>
  </si>
  <si>
    <t>Phase 2</t>
  </si>
  <si>
    <t>Phase 3</t>
  </si>
  <si>
    <t>Practices</t>
  </si>
  <si>
    <t>Write reusable scripts for data cleaning and merging.</t>
  </si>
  <si>
    <t>Ensure data labelling is performed in a strictly controlled process.</t>
  </si>
  <si>
    <t>Make data sets available on shared infrastructure (private or public).</t>
  </si>
  <si>
    <t>Use sanity checks for all external data sources.</t>
  </si>
  <si>
    <t>Use privacy-preserving machine learning techniques.</t>
  </si>
  <si>
    <t>Test for social bias in training data.</t>
  </si>
  <si>
    <t>Check that input data is complete, balanced and well distributed.</t>
  </si>
  <si>
    <t>Prevent discriminatory data attributes used as model features.</t>
  </si>
  <si>
    <t>Share a clearly defined training objective within the team.</t>
  </si>
  <si>
    <t>Capture the training objective in a metric that is easy to measure and understand.</t>
  </si>
  <si>
    <t>Continuously measure model quality and performance.</t>
  </si>
  <si>
    <t>Enable parallel training experiments.</t>
  </si>
  <si>
    <t>Use versioning for data, model, configurations and training scripts.</t>
  </si>
  <si>
    <t>Share status and outcomes of experiments within the team.</t>
  </si>
  <si>
    <t>Peer review training scripts.</t>
  </si>
  <si>
    <t>Test all feature extraction code.</t>
  </si>
  <si>
    <t>Automate hyper-parameter optimisation.</t>
  </si>
  <si>
    <t>Automate configuration of algorithms or model structure.</t>
  </si>
  <si>
    <t>Assign an owner to each feature and document its rationale.</t>
  </si>
  <si>
    <t>Actively remove or archive features that are not used.</t>
  </si>
  <si>
    <t>Automate feature generation and selection.</t>
  </si>
  <si>
    <t>Assess and manage subgroup bias.</t>
  </si>
  <si>
    <t>Employ interpretable models when possible.</t>
  </si>
  <si>
    <t>Use static analysis to check code quality.</t>
  </si>
  <si>
    <t>Run automated regression tests.</t>
  </si>
  <si>
    <t>Assure application security.</t>
  </si>
  <si>
    <t>Use continuous integration</t>
  </si>
  <si>
    <t>Continuously monitor the behaviour of deployed models.</t>
  </si>
  <si>
    <t>Automate model deployment.</t>
  </si>
  <si>
    <t>Enable automatic roll backs for production models.</t>
  </si>
  <si>
    <t>Enable shadow deployment.</t>
  </si>
  <si>
    <t>Perform checks to detect skew between models.</t>
  </si>
  <si>
    <t>Log production predictions with the model's version and input data.</t>
  </si>
  <si>
    <t>Provide audit trails.</t>
  </si>
  <si>
    <t>Use a collaborative development platform.</t>
  </si>
  <si>
    <t>Communicate, align, and collaborate with others.</t>
  </si>
  <si>
    <t>Work against a shared backlog.</t>
  </si>
  <si>
    <t>Decide trade-offs through defined team process.</t>
  </si>
  <si>
    <t>Establish responsible AI values.</t>
  </si>
  <si>
    <t>Enforce fairness and privacy.</t>
  </si>
  <si>
    <t>Inform users on machine learning usage.</t>
  </si>
  <si>
    <t>Explain results and decisions to users.</t>
  </si>
  <si>
    <t>Provide safe channels to raise concerns.</t>
  </si>
  <si>
    <t>Perform risk assessments.</t>
  </si>
  <si>
    <t>Have your application audited.</t>
  </si>
  <si>
    <t>Team name</t>
  </si>
  <si>
    <t>Roadmap</t>
  </si>
  <si>
    <t>Legend</t>
  </si>
  <si>
    <t>✓</t>
  </si>
  <si>
    <t>Adopted</t>
  </si>
  <si>
    <t>Not adopted</t>
  </si>
  <si>
    <t>✕</t>
  </si>
  <si>
    <t>Not applicable</t>
  </si>
  <si>
    <t>DOMAIN REPRESENTATION - PRACTICE ADOPTION SCORE SHEET</t>
  </si>
  <si>
    <t>MATURITY REPRESENTATION - PRACTICE ADOPTION SCORE SHEET</t>
  </si>
  <si>
    <t>This workbook support teams in assessing their development processes, obtaining their process maturity and planning the improvement of their processes. The workbook consists of the following sheets: 
 •  The 'Domain repres. assessment' sheet  - sheet to assess the development process with the use of domain representation.
 •  The 'Maturity repres. assessment'  sheet  -  sheet to assess the development process with the use of maturity representation.
 •  The 'Domain repres. adoption'  sheet  -  sheet to show the adoption of the practices with the use of domain representation.
 •  The 'Maturity repres. adoption'  sheet  -  sheet to show the adoption of the practices with the use of maturity representation.
 •  The 'Assessment report'  sheet -  sheet to show the assessment results.
 •  The 'Process improvement'  sheet - sheet to plan the process improvement.</t>
  </si>
  <si>
    <t>N/A</t>
  </si>
  <si>
    <t xml:space="preserve">Legend </t>
  </si>
  <si>
    <r>
      <t xml:space="preserve">Instructions
</t>
    </r>
    <r>
      <rPr>
        <i/>
        <sz val="9"/>
        <color theme="1"/>
        <rFont val="Arial"/>
        <family val="2"/>
      </rPr>
      <t xml:space="preserve">This sheet shows the obtained maturity level(s) for both representations within the framework.
</t>
    </r>
    <r>
      <rPr>
        <sz val="9"/>
        <color theme="1"/>
        <rFont val="Arial"/>
        <family val="2"/>
      </rPr>
      <t xml:space="preserve">Document information about the team and the assessment in the ‘Team profile’ and ‘Asssessment information’ sections, respectively.  </t>
    </r>
    <r>
      <rPr>
        <b/>
        <sz val="9"/>
        <color theme="1"/>
        <rFont val="Arial"/>
        <family val="2"/>
      </rPr>
      <t xml:space="preserve">
</t>
    </r>
    <r>
      <rPr>
        <sz val="9"/>
        <color theme="1"/>
        <rFont val="Arial"/>
        <family val="2"/>
      </rPr>
      <t xml:space="preserve">The obtained assessment results for both framework representations are shown in the correpsonding sections on the sheet. These result sections are read-only sections. Do not make changes to the sections.
Focus only on result(s) of the selected representation(s) and move to the ‘Process improvement’ sheet. For the descriptions of the levels of the domain representation and the maturity representation, consult page 13 and 17 of the framework report, respectively. </t>
    </r>
  </si>
  <si>
    <r>
      <t xml:space="preserve">Instructions
</t>
    </r>
    <r>
      <rPr>
        <i/>
        <sz val="9"/>
        <color theme="1"/>
        <rFont val="Arial"/>
        <family val="2"/>
      </rPr>
      <t xml:space="preserve">This sheet supports to plan the improvement of the development process.
</t>
    </r>
    <r>
      <rPr>
        <sz val="9"/>
        <color theme="1"/>
        <rFont val="Arial"/>
        <family val="2"/>
      </rPr>
      <t xml:space="preserve">Select the desired maturity level(s) with the drop-down lists in the section corresponding to the used representation (i.e. the domain representation section, the maturity representation section or both sections). The practices of which the adoption should be improved in order to achieve the desired level(s) are shown after the selection(s) is/are made. 
In the ‘roadmap’ section, a roadmap can be created, which specifies the achievement of the desired maturity level(s) in several phases. Distribute the practices of which the adoption needs to be improved over the phases. For each phase, select the practices to be worked on with the drop-down lists in the ‘practice’ columns. Besides, specify for each practice the adoption that is aimed to be achieved at the end of a phase in the ‘Adoption at end’ columns. </t>
    </r>
  </si>
  <si>
    <r>
      <t xml:space="preserve">Instructions
</t>
    </r>
    <r>
      <rPr>
        <i/>
        <sz val="9"/>
        <color theme="1"/>
        <rFont val="Arial"/>
        <family val="2"/>
      </rPr>
      <t xml:space="preserve">This sheet is intended to record assessment decisions (i.e. adoption degrees). In case the domain representation of the framework is used, follow the instructions below, otherwise move to the ‘Maturity rep. assessment’ sheet. If both representations are used for a process improvement initiative, one of the two representation sheets (i.e. ‘domain repres. assessment’ sheet or ‘maturity repres. assessment’ sheet) should be used to record assessment decisions.
</t>
    </r>
    <r>
      <rPr>
        <sz val="9"/>
        <color theme="1"/>
        <rFont val="Arial"/>
        <family val="2"/>
      </rPr>
      <t xml:space="preserve">Select for each practice the most applicable adoption degree from the drop-down lists in the ‘Adoption assessment’ column. When an adoption degree for a particular practice is selected in the ‘domain representation assessment’ sheet, that degree is automatically selected for that practice in the ‘maturity representation assessment’ sheet.
Write down notes, if necessary, about the assessment (e.g. rationale behind assessment decisions) for each domain level in the ‘Notes’ column. 
When adoption degrees are assigned to all practices, move to the `Domain repres. adoption' sheet. </t>
    </r>
  </si>
  <si>
    <r>
      <t xml:space="preserve">Instructions
</t>
    </r>
    <r>
      <rPr>
        <i/>
        <sz val="9"/>
        <color theme="1"/>
        <rFont val="Arial"/>
        <family val="2"/>
      </rPr>
      <t xml:space="preserve">This sheet is intended to record assessment decisions (i.e. adoption degrees). In case the maturity representation of the framework is used, follow the instructions below. If both representations are used for a process improvement initiative, choose one of the two representation sheets (i.e. ‘domain representation assessment’ sheet or ‘maturity representation assessment’ sheet) to record assessment decisions.
</t>
    </r>
    <r>
      <rPr>
        <sz val="9"/>
        <color theme="1"/>
        <rFont val="Arial"/>
        <family val="2"/>
      </rPr>
      <t xml:space="preserve">Select for each practice the most applicable adoption degree from the drop-down lists in the ‘Adoption assessment’ column. 
Write down notes, if necessary, about the assessment (e.g. rationale behind assessment decisions) for each maturity level in the ‘Notes’ column. 
When adoption degrees are assigned to all practices, move to the `Maturity repres. adoption’ sheet. In case both representations are used for the improvement of a process, move to the `Domain repres. adoption’ sheet. </t>
    </r>
  </si>
  <si>
    <t>The machine learning maturity model for teams is a prescriptive maturity model for the assessment of the development processes of machine learning teams. The maturity model aims to support teams in improving their development processes based on a set of practices for the development of ML-based software systems.</t>
  </si>
  <si>
    <r>
      <t>In order to start using this workbook, determine which representation(s) to use for the assessment. The maturity model distinguishes two representations: the domain and the maturity representation. The domain representation focuses on the maturity of a team regarding the domains represented by engineering capability (EC) levels. The maturity representation focuses on the overall maturity of a development process represented by maturity levels. In case the aim is to assess and improve the maturity of your team on a domain level, the domain representation should be used. In order to assess and improve the overall maturity of the process of your team, the maturity representation should be used. Both representations could also be used for an process improvement initiative.
The sheets in this workbook include instructions which should be followed. After determining which representation to use for the assessment, move to the 'Domain repres. assessment' sheet' in case the domain representation of the framework is used, otherwise move to the ‘Maturity rep. assessment’ sheet. In case both representations are used for a improvement initiative, choose one of the two representation sheets (i.e. ‘domain repres. assessment’ sheet or ‘maturity repres. assessment’ sheet)  to record assessment decisions.</t>
    </r>
    <r>
      <rPr>
        <b/>
        <sz val="9"/>
        <color theme="1"/>
        <rFont val="Arial"/>
        <family val="2"/>
      </rPr>
      <t xml:space="preserve"> Follow the corresponding instructions of the sheets. Make sure the macros are enabled.</t>
    </r>
  </si>
  <si>
    <t>For additional information about the model, see the framework report. More information about the practices used within the model could be find at https://se-ml.github.io/practices/</t>
  </si>
  <si>
    <t>The maturity model is licensed under the Creative Commons Attribution-ShareAlike 4.0 International License. For more information about this license, visit http://creativecommons.org/licenses/by-sa/4.0/.</t>
  </si>
  <si>
    <r>
      <t xml:space="preserve">THE MACHINE LEARNING MATURITY MODEL FOR TEAMS
</t>
    </r>
    <r>
      <rPr>
        <sz val="12"/>
        <color theme="0"/>
        <rFont val="Arial"/>
        <family val="2"/>
      </rPr>
      <t>WORKBOOK</t>
    </r>
  </si>
  <si>
    <r>
      <t xml:space="preserve">Instructions
</t>
    </r>
    <r>
      <rPr>
        <i/>
        <sz val="9"/>
        <color theme="1"/>
        <rFont val="Arial"/>
        <family val="2"/>
      </rPr>
      <t xml:space="preserve">This sheet provides an overview of the adoption of the practices based on the conducted assessment of the development process. Within the maturity model, a practice is considered to be adopted if that practice is mostly or completely adopted. This sheet is a read-only sheet. 
In case the domain representation of the framework is used, move to the `Assessment report ’ sheet. If the maturity representation or both representations are used, follow the instructions below.
</t>
    </r>
    <r>
      <rPr>
        <b/>
        <sz val="9"/>
        <color theme="1"/>
        <rFont val="Arial"/>
        <family val="2"/>
      </rPr>
      <t xml:space="preserve">
</t>
    </r>
    <r>
      <rPr>
        <sz val="9"/>
        <color theme="1"/>
        <rFont val="Arial"/>
        <family val="2"/>
      </rPr>
      <t xml:space="preserve">See the adoption of each practice based on the conducted assessment in the 'Adopted' column. 
The adoption of practices by other teams in our data pool can be seen in the 'Practice adoption' and 'Adoption percentile' columns. Our data pool consists in total of 139 teams. 
The practice adoption of a practice denotes the number of teams in our pool that adopted that practice while the adoption percentile is the percentile of its adoption over the set of practice adoptions. Some practices do not have a practice adoption and adoption percentile. For more information about the adoption scores, consult Chapter 2 of the framework report.
Move to the `Assessment report’ sheet for the obtained results. 
</t>
    </r>
  </si>
  <si>
    <r>
      <t xml:space="preserve">Instructions
</t>
    </r>
    <r>
      <rPr>
        <i/>
        <sz val="9"/>
        <color theme="1"/>
        <rFont val="Arial"/>
        <family val="2"/>
      </rPr>
      <t xml:space="preserve">This sheet provides an overview of the adoption of the practices based on the conducted assessment of the development process. Within the maturity model, a practice is considered to be adopted if that practice is mostly or completely adopted. This sheet is a read-only sheet. 
In case the domain representation of the framework is used or both representations, follow the instructions below, otherwise move to the `Maturity repres. adoption’ sheet.
</t>
    </r>
    <r>
      <rPr>
        <sz val="9"/>
        <color theme="1"/>
        <rFont val="Arial"/>
        <family val="2"/>
      </rPr>
      <t>See the adoption of each practice based on the conducted assessment (i.e. selection of adoption degrees) in the 'Adopted' column. 
The adoption of practices by other teams in our data pool can be seen in the 'Practice adoption' and 'Adoption percentile' columns. Our data pool consists in total of 139 teams. The practice adoption of a practice denotes the number of teams in our pool that adopted that practice while the adoption percentile is the percentile of its adoption over the set of practice adoptions. Some practices do not have a practice adoption and adoption percentile. For more information about the adoption scores, consult Chapter 2 of the framework report.
Move to the `Assessment report’ sheet for the obtained results. In case both representations are used, move to the `Maturity repres. adoption’ sheet.</t>
    </r>
    <r>
      <rPr>
        <i/>
        <sz val="9"/>
        <color theme="1"/>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</si>
</sst>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 0;\-0;;@"/>
  </numFmts>
  <fonts count="26" x14ac:knownFonts="1">
    <font>
      <sz val="11"/>
      <color theme="1"/>
      <name val="Calibri"/>
      <family val="2"/>
      <scheme val="minor"/>
    </font>
    <font>
      <b/>
      <sz val="9"/>
      <color theme="0"/>
      <name val="Arial"/>
      <family val="2"/>
    </font>
    <font>
      <b/>
      <sz val="9"/>
      <color rgb="FF0070C0"/>
      <name val="Arial"/>
      <family val="2"/>
    </font>
    <font>
      <sz val="9"/>
      <name val="Arial"/>
      <family val="2"/>
    </font>
    <font>
      <sz val="9"/>
      <color theme="1"/>
      <name val="Arial"/>
      <family val="2"/>
    </font>
    <font>
      <b/>
      <sz val="10"/>
      <color theme="0"/>
      <name val="Arial"/>
      <family val="2"/>
    </font>
    <font>
      <b/>
      <sz val="9"/>
      <color rgb="FF00B050"/>
      <name val="Arial"/>
      <family val="2"/>
    </font>
    <font>
      <sz val="10"/>
      <color theme="1"/>
      <name val="Arial"/>
      <family val="2"/>
    </font>
    <font>
      <b/>
      <sz val="9"/>
      <color rgb="FF00B0F0"/>
      <name val="Arial"/>
      <family val="2"/>
    </font>
    <font>
      <b/>
      <sz val="9"/>
      <color rgb="FF7030A0"/>
      <name val="Arial"/>
      <family val="2"/>
    </font>
    <font>
      <b/>
      <sz val="9"/>
      <color theme="8" tint="-0.499984740745262"/>
      <name val="Arial"/>
      <family val="2"/>
    </font>
    <font>
      <b/>
      <sz val="9"/>
      <color theme="1"/>
      <name val="Arial"/>
      <family val="2"/>
    </font>
    <font>
      <sz val="9"/>
      <color rgb="FF00B050"/>
      <name val="Arial"/>
      <family val="2"/>
    </font>
    <font>
      <b/>
      <sz val="9"/>
      <color rgb="FFFFC000"/>
      <name val="Arial"/>
      <family val="2"/>
    </font>
    <font>
      <b/>
      <sz val="9"/>
      <color rgb="FF009999"/>
      <name val="Arial"/>
      <family val="2"/>
    </font>
    <font>
      <sz val="9"/>
      <color theme="1"/>
      <name val="Calibri"/>
      <family val="2"/>
      <scheme val="minor"/>
    </font>
    <font>
      <b/>
      <sz val="9"/>
      <name val="Arial"/>
      <family val="2"/>
    </font>
    <font>
      <sz val="8"/>
      <name val="Calibri"/>
      <family val="2"/>
      <scheme val="minor"/>
    </font>
    <font>
      <sz val="11"/>
      <color theme="0"/>
      <name val="Calibri"/>
      <family val="2"/>
      <scheme val="minor"/>
    </font>
    <font>
      <b/>
      <sz val="9"/>
      <color rgb="FF3FB1E5"/>
      <name val="Arial"/>
      <family val="2"/>
    </font>
    <font>
      <i/>
      <sz val="9"/>
      <color theme="1"/>
      <name val="Arial"/>
      <family val="2"/>
    </font>
    <font>
      <b/>
      <sz val="14"/>
      <color theme="0"/>
      <name val="Arial"/>
      <family val="2"/>
    </font>
    <font>
      <sz val="16"/>
      <color theme="1"/>
      <name val="Calibri"/>
      <family val="2"/>
      <scheme val="minor"/>
    </font>
    <font>
      <sz val="12"/>
      <color theme="0"/>
      <name val="Arial"/>
      <family val="2"/>
    </font>
    <font>
      <sz val="9"/>
      <color rgb="FF000000"/>
      <name val="Arial"/>
      <family val="2"/>
    </font>
    <font>
      <sz val="9"/>
      <color theme="1"/>
      <name val="Segoe UI Symbol"/>
      <family val="2"/>
    </font>
  </fonts>
  <fills count="12">
    <fill>
      <patternFill patternType="none"/>
    </fill>
    <fill>
      <patternFill patternType="gray125"/>
    </fill>
    <fill>
      <patternFill patternType="solid">
        <fgColor rgb="FF00B050"/>
        <bgColor indexed="64"/>
      </patternFill>
    </fill>
    <fill>
      <patternFill patternType="solid">
        <fgColor rgb="FF00B0F0"/>
        <bgColor indexed="64"/>
      </patternFill>
    </fill>
    <fill>
      <patternFill patternType="solid">
        <fgColor rgb="FF7030A0"/>
        <bgColor indexed="64"/>
      </patternFill>
    </fill>
    <fill>
      <patternFill patternType="solid">
        <fgColor rgb="FFFF9900"/>
        <bgColor indexed="64"/>
      </patternFill>
    </fill>
    <fill>
      <patternFill patternType="solid">
        <fgColor theme="8" tint="-0.499984740745262"/>
        <bgColor indexed="64"/>
      </patternFill>
    </fill>
    <fill>
      <patternFill patternType="solid">
        <fgColor rgb="FF009999"/>
        <bgColor indexed="64"/>
      </patternFill>
    </fill>
    <fill>
      <patternFill patternType="solid">
        <fgColor rgb="FFFFC000"/>
        <bgColor indexed="64"/>
      </patternFill>
    </fill>
    <fill>
      <patternFill patternType="solid">
        <fgColor rgb="FF3FB1E5"/>
        <bgColor indexed="64"/>
      </patternFill>
    </fill>
    <fill>
      <patternFill patternType="solid">
        <fgColor rgb="FF003768"/>
        <bgColor indexed="64"/>
      </patternFill>
    </fill>
    <fill>
      <patternFill patternType="solid">
        <fgColor theme="0"/>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53">
    <xf numFmtId="0" fontId="0" fillId="0" borderId="0" xfId="0"/>
    <xf numFmtId="0" fontId="1" fillId="0" borderId="0" xfId="0" applyFont="1"/>
    <xf numFmtId="0" fontId="3" fillId="0" borderId="0" xfId="0" quotePrefix="1" applyFont="1" applyAlignment="1">
      <alignment vertical="top" wrapText="1"/>
    </xf>
    <xf numFmtId="0" fontId="4" fillId="0" borderId="0" xfId="0" quotePrefix="1" applyFont="1" applyAlignment="1">
      <alignment vertical="top" wrapText="1"/>
    </xf>
    <xf numFmtId="0" fontId="0" fillId="0" borderId="0" xfId="0" applyAlignment="1">
      <alignment vertical="top" wrapText="1"/>
    </xf>
    <xf numFmtId="0" fontId="4" fillId="0" borderId="0" xfId="0" applyFont="1" applyAlignment="1">
      <alignment horizontal="center" vertical="center"/>
    </xf>
    <xf numFmtId="0" fontId="7" fillId="0" borderId="0" xfId="0" applyFont="1" applyAlignment="1">
      <alignment horizontal="center"/>
    </xf>
    <xf numFmtId="0" fontId="4" fillId="0" borderId="0" xfId="0" quotePrefix="1" applyFont="1" applyAlignment="1">
      <alignment vertical="top"/>
    </xf>
    <xf numFmtId="0" fontId="4" fillId="0" borderId="0" xfId="0" applyFont="1" applyAlignment="1">
      <alignment vertical="top" wrapText="1"/>
    </xf>
    <xf numFmtId="0" fontId="4" fillId="0" borderId="0" xfId="0" applyFont="1"/>
    <xf numFmtId="0" fontId="5" fillId="0" borderId="0" xfId="0" applyFont="1"/>
    <xf numFmtId="0" fontId="4" fillId="0" borderId="0" xfId="0" applyFont="1" applyAlignment="1">
      <alignment vertical="top"/>
    </xf>
    <xf numFmtId="0" fontId="11" fillId="0" borderId="0" xfId="0" applyFont="1" applyAlignment="1">
      <alignment horizontal="left" vertical="center"/>
    </xf>
    <xf numFmtId="0" fontId="1" fillId="0" borderId="0" xfId="0" applyFont="1" applyAlignment="1">
      <alignment horizontal="left" vertical="center"/>
    </xf>
    <xf numFmtId="0" fontId="18" fillId="0" borderId="0" xfId="0" applyFont="1"/>
    <xf numFmtId="0" fontId="1" fillId="0" borderId="0" xfId="0" applyFont="1" applyAlignment="1">
      <alignment vertical="center"/>
    </xf>
    <xf numFmtId="0" fontId="11" fillId="0" borderId="0" xfId="0" applyFont="1" applyAlignment="1">
      <alignment vertical="top" wrapText="1"/>
    </xf>
    <xf numFmtId="0" fontId="4" fillId="0" borderId="0" xfId="0" applyFont="1" applyAlignment="1">
      <alignment horizontal="center"/>
    </xf>
    <xf numFmtId="0" fontId="4" fillId="0" borderId="0" xfId="0" quotePrefix="1" applyFont="1" applyAlignment="1" applyProtection="1">
      <alignment horizontal="center" vertical="center"/>
      <protection locked="0"/>
    </xf>
    <xf numFmtId="0" fontId="4" fillId="0" borderId="0" xfId="0" applyFont="1" applyAlignment="1" applyProtection="1">
      <alignment horizontal="center" vertical="center" wrapText="1"/>
      <protection locked="0"/>
    </xf>
    <xf numFmtId="0" fontId="0" fillId="0" borderId="0" xfId="0" applyProtection="1">
      <protection locked="0"/>
    </xf>
    <xf numFmtId="0" fontId="4" fillId="0" borderId="0" xfId="0" applyFont="1" applyAlignment="1" applyProtection="1">
      <alignment horizontal="center" vertical="center"/>
      <protection locked="0"/>
    </xf>
    <xf numFmtId="0" fontId="4" fillId="0" borderId="0" xfId="0" quotePrefix="1" applyFont="1" applyAlignment="1" applyProtection="1">
      <alignment vertical="top" wrapText="1"/>
      <protection locked="0"/>
    </xf>
    <xf numFmtId="0" fontId="4" fillId="0" borderId="0" xfId="0" applyFont="1" applyAlignment="1" applyProtection="1">
      <alignment vertical="top" wrapText="1"/>
      <protection locked="0"/>
    </xf>
    <xf numFmtId="0" fontId="0" fillId="0" borderId="0" xfId="0" applyAlignment="1" applyProtection="1">
      <alignment vertical="top" wrapText="1"/>
      <protection locked="0"/>
    </xf>
    <xf numFmtId="0" fontId="25" fillId="0" borderId="0" xfId="0" applyFont="1" applyAlignment="1" applyProtection="1">
      <alignment horizontal="center" vertical="center"/>
      <protection hidden="1"/>
    </xf>
    <xf numFmtId="0" fontId="0" fillId="11" borderId="0" xfId="0" applyFill="1" applyProtection="1">
      <protection hidden="1"/>
    </xf>
    <xf numFmtId="0" fontId="1" fillId="9" borderId="0" xfId="0" applyFont="1" applyFill="1" applyAlignment="1" applyProtection="1">
      <alignment horizontal="center" vertical="center"/>
      <protection hidden="1"/>
    </xf>
    <xf numFmtId="0" fontId="1" fillId="9" borderId="0" xfId="0" applyFont="1" applyFill="1" applyAlignment="1" applyProtection="1">
      <alignment horizontal="left" vertical="center"/>
      <protection hidden="1"/>
    </xf>
    <xf numFmtId="0" fontId="4" fillId="0" borderId="0" xfId="0" applyFont="1" applyAlignment="1" applyProtection="1">
      <alignment horizontal="left" vertical="center"/>
      <protection hidden="1"/>
    </xf>
    <xf numFmtId="0" fontId="4" fillId="0" borderId="0" xfId="0" applyFont="1" applyAlignment="1" applyProtection="1">
      <alignment horizontal="center"/>
      <protection hidden="1"/>
    </xf>
    <xf numFmtId="0" fontId="4" fillId="0" borderId="0" xfId="0" applyFont="1" applyAlignment="1" applyProtection="1">
      <alignment vertical="center"/>
      <protection hidden="1"/>
    </xf>
    <xf numFmtId="0" fontId="24" fillId="0" borderId="0" xfId="0" applyFont="1" applyAlignment="1" applyProtection="1">
      <alignment vertical="center"/>
      <protection hidden="1"/>
    </xf>
    <xf numFmtId="0" fontId="24" fillId="0" borderId="0" xfId="0" applyFont="1" applyAlignment="1" applyProtection="1">
      <alignment horizontal="left" vertical="center"/>
      <protection hidden="1"/>
    </xf>
    <xf numFmtId="0" fontId="4" fillId="0" borderId="0" xfId="0" applyFont="1" applyAlignment="1" applyProtection="1">
      <alignment horizontal="center" vertical="center"/>
      <protection hidden="1"/>
    </xf>
    <xf numFmtId="0" fontId="4" fillId="0" borderId="0" xfId="0" applyFont="1" applyAlignment="1" applyProtection="1">
      <alignment horizontal="left"/>
      <protection hidden="1"/>
    </xf>
    <xf numFmtId="0" fontId="1" fillId="9" borderId="0" xfId="0" applyFont="1" applyFill="1" applyAlignment="1" applyProtection="1">
      <alignment horizontal="center"/>
      <protection hidden="1"/>
    </xf>
    <xf numFmtId="0" fontId="0" fillId="0" borderId="0" xfId="0" applyProtection="1">
      <protection hidden="1"/>
    </xf>
    <xf numFmtId="0" fontId="5" fillId="0" borderId="0" xfId="0" applyFont="1" applyProtection="1">
      <protection hidden="1"/>
    </xf>
    <xf numFmtId="0" fontId="4" fillId="0" borderId="0" xfId="0" applyFont="1" applyProtection="1">
      <protection hidden="1"/>
    </xf>
    <xf numFmtId="0" fontId="11" fillId="0" borderId="0" xfId="0" applyFont="1" applyAlignment="1" applyProtection="1">
      <alignment vertical="top"/>
      <protection hidden="1"/>
    </xf>
    <xf numFmtId="0" fontId="11" fillId="0" borderId="0" xfId="0" applyFont="1" applyAlignment="1" applyProtection="1">
      <alignment vertical="top" wrapText="1"/>
      <protection hidden="1"/>
    </xf>
    <xf numFmtId="0" fontId="25" fillId="0" borderId="4" xfId="0" applyFont="1" applyBorder="1" applyAlignment="1" applyProtection="1">
      <alignment horizontal="center" vertical="center"/>
      <protection hidden="1"/>
    </xf>
    <xf numFmtId="164" fontId="4" fillId="0" borderId="0" xfId="0" applyNumberFormat="1" applyFont="1" applyAlignment="1" applyProtection="1">
      <alignment horizontal="center"/>
      <protection hidden="1"/>
    </xf>
    <xf numFmtId="0" fontId="4" fillId="0" borderId="0" xfId="0" applyFont="1" applyAlignment="1" applyProtection="1">
      <alignment vertical="top"/>
      <protection hidden="1"/>
    </xf>
    <xf numFmtId="0" fontId="25" fillId="0" borderId="4" xfId="0" applyFont="1" applyBorder="1" applyAlignment="1" applyProtection="1">
      <alignment horizontal="center" vertical="top"/>
      <protection hidden="1"/>
    </xf>
    <xf numFmtId="164" fontId="4" fillId="0" borderId="0" xfId="0" applyNumberFormat="1" applyFont="1" applyAlignment="1" applyProtection="1">
      <alignment horizontal="center" vertical="center"/>
      <protection hidden="1"/>
    </xf>
    <xf numFmtId="0" fontId="4" fillId="0" borderId="0" xfId="0" quotePrefix="1" applyFont="1" applyAlignment="1" applyProtection="1">
      <alignment vertical="top" wrapText="1"/>
      <protection hidden="1"/>
    </xf>
    <xf numFmtId="0" fontId="4" fillId="0" borderId="0" xfId="0" quotePrefix="1" applyFont="1" applyAlignment="1" applyProtection="1">
      <alignment vertical="top"/>
      <protection hidden="1"/>
    </xf>
    <xf numFmtId="0" fontId="4" fillId="0" borderId="0" xfId="0" applyFont="1" applyAlignment="1" applyProtection="1">
      <alignment vertical="top" wrapText="1"/>
      <protection hidden="1"/>
    </xf>
    <xf numFmtId="0" fontId="0" fillId="0" borderId="0" xfId="0" applyAlignment="1" applyProtection="1">
      <alignment vertical="top" wrapText="1"/>
      <protection hidden="1"/>
    </xf>
    <xf numFmtId="0" fontId="1" fillId="0" borderId="0" xfId="0" applyFont="1" applyProtection="1">
      <protection hidden="1"/>
    </xf>
    <xf numFmtId="0" fontId="3" fillId="0" borderId="0" xfId="0" quotePrefix="1" applyFont="1" applyAlignment="1" applyProtection="1">
      <alignment vertical="top" wrapText="1"/>
      <protection hidden="1"/>
    </xf>
    <xf numFmtId="0" fontId="11" fillId="0" borderId="0" xfId="0" applyFont="1" applyAlignment="1" applyProtection="1">
      <alignment horizontal="left"/>
      <protection hidden="1"/>
    </xf>
    <xf numFmtId="0" fontId="11" fillId="0" borderId="0" xfId="0" applyFont="1" applyAlignment="1" applyProtection="1">
      <alignment horizontal="center"/>
      <protection hidden="1"/>
    </xf>
    <xf numFmtId="0" fontId="1" fillId="2" borderId="0" xfId="0" applyFont="1" applyFill="1" applyAlignment="1" applyProtection="1">
      <alignment horizontal="left" vertical="center"/>
      <protection hidden="1"/>
    </xf>
    <xf numFmtId="0" fontId="1" fillId="3" borderId="0" xfId="0" applyFont="1" applyFill="1" applyAlignment="1" applyProtection="1">
      <alignment horizontal="left" vertical="center"/>
      <protection hidden="1"/>
    </xf>
    <xf numFmtId="0" fontId="1" fillId="4" borderId="0" xfId="0" applyFont="1" applyFill="1" applyAlignment="1" applyProtection="1">
      <alignment horizontal="left" vertical="center"/>
      <protection hidden="1"/>
    </xf>
    <xf numFmtId="0" fontId="1" fillId="8" borderId="0" xfId="0" applyFont="1" applyFill="1" applyAlignment="1" applyProtection="1">
      <alignment horizontal="left" vertical="center"/>
      <protection hidden="1"/>
    </xf>
    <xf numFmtId="0" fontId="1" fillId="6" borderId="0" xfId="0" applyFont="1" applyFill="1" applyAlignment="1" applyProtection="1">
      <alignment horizontal="left" vertical="center"/>
      <protection hidden="1"/>
    </xf>
    <xf numFmtId="0" fontId="1" fillId="7" borderId="0" xfId="0" applyFont="1" applyFill="1" applyAlignment="1" applyProtection="1">
      <alignment horizontal="left" vertical="center"/>
      <protection hidden="1"/>
    </xf>
    <xf numFmtId="0" fontId="11" fillId="0" borderId="0" xfId="0" applyFont="1" applyProtection="1">
      <protection hidden="1"/>
    </xf>
    <xf numFmtId="0" fontId="1" fillId="0" borderId="0" xfId="0" applyFont="1" applyAlignment="1" applyProtection="1">
      <alignment horizontal="left" vertical="center"/>
      <protection hidden="1"/>
    </xf>
    <xf numFmtId="0" fontId="1" fillId="2" borderId="0" xfId="0" applyFont="1" applyFill="1" applyAlignment="1" applyProtection="1">
      <alignment horizontal="center"/>
      <protection hidden="1"/>
    </xf>
    <xf numFmtId="0" fontId="1" fillId="3" borderId="0" xfId="0" applyFont="1" applyFill="1" applyAlignment="1" applyProtection="1">
      <alignment horizontal="center" vertical="center"/>
      <protection hidden="1"/>
    </xf>
    <xf numFmtId="0" fontId="1" fillId="4" borderId="0" xfId="0" applyFont="1" applyFill="1" applyAlignment="1" applyProtection="1">
      <alignment horizontal="center" vertical="center"/>
      <protection hidden="1"/>
    </xf>
    <xf numFmtId="0" fontId="1" fillId="8" borderId="0" xfId="0" applyFont="1" applyFill="1" applyAlignment="1" applyProtection="1">
      <alignment horizontal="center" vertical="center"/>
      <protection hidden="1"/>
    </xf>
    <xf numFmtId="0" fontId="1" fillId="6" borderId="0" xfId="0" applyFont="1" applyFill="1" applyAlignment="1" applyProtection="1">
      <alignment horizontal="center" vertical="center"/>
      <protection hidden="1"/>
    </xf>
    <xf numFmtId="0" fontId="1" fillId="7" borderId="0" xfId="0" applyFont="1" applyFill="1" applyAlignment="1" applyProtection="1">
      <alignment horizontal="center" vertical="center"/>
      <protection hidden="1"/>
    </xf>
    <xf numFmtId="0" fontId="3" fillId="0" borderId="0" xfId="0" applyFont="1" applyAlignment="1" applyProtection="1">
      <alignment horizontal="center"/>
      <protection hidden="1"/>
    </xf>
    <xf numFmtId="0" fontId="7" fillId="0" borderId="0" xfId="0" applyFont="1" applyProtection="1">
      <protection hidden="1"/>
    </xf>
    <xf numFmtId="0" fontId="11" fillId="0" borderId="0" xfId="0" applyFont="1" applyAlignment="1" applyProtection="1">
      <alignment vertical="center"/>
      <protection hidden="1"/>
    </xf>
    <xf numFmtId="165" fontId="4" fillId="0" borderId="0" xfId="0" applyNumberFormat="1" applyFont="1" applyAlignment="1" applyProtection="1">
      <alignment horizontal="center" vertical="center"/>
      <protection hidden="1"/>
    </xf>
    <xf numFmtId="0" fontId="16" fillId="0" borderId="0" xfId="0" applyFont="1" applyAlignment="1" applyProtection="1">
      <alignment horizontal="center"/>
      <protection hidden="1"/>
    </xf>
    <xf numFmtId="0" fontId="16" fillId="0" borderId="0" xfId="0" applyFont="1" applyAlignment="1" applyProtection="1">
      <alignment horizontal="center" vertical="center"/>
      <protection hidden="1"/>
    </xf>
    <xf numFmtId="0" fontId="1" fillId="0" borderId="0" xfId="0" applyFont="1" applyAlignment="1" applyProtection="1">
      <alignment horizontal="center" vertical="center"/>
      <protection hidden="1"/>
    </xf>
    <xf numFmtId="0" fontId="4" fillId="0" borderId="6" xfId="0" applyFont="1" applyBorder="1" applyAlignment="1" applyProtection="1">
      <alignment horizontal="center" vertical="center"/>
      <protection hidden="1"/>
    </xf>
    <xf numFmtId="0" fontId="25" fillId="0" borderId="6" xfId="0" applyFont="1" applyBorder="1" applyAlignment="1" applyProtection="1">
      <alignment horizontal="center" vertical="top"/>
      <protection hidden="1"/>
    </xf>
    <xf numFmtId="0" fontId="1" fillId="9" borderId="4" xfId="0" applyFont="1" applyFill="1" applyBorder="1" applyAlignment="1" applyProtection="1">
      <alignment horizontal="left" vertical="center"/>
      <protection hidden="1"/>
    </xf>
    <xf numFmtId="0" fontId="1" fillId="9" borderId="0" xfId="0" applyFont="1" applyFill="1" applyAlignment="1" applyProtection="1">
      <alignment horizontal="left" vertical="center"/>
      <protection hidden="1"/>
    </xf>
    <xf numFmtId="0" fontId="1" fillId="9" borderId="5" xfId="0" applyFont="1" applyFill="1" applyBorder="1" applyAlignment="1" applyProtection="1">
      <alignment horizontal="left" vertical="center"/>
      <protection hidden="1"/>
    </xf>
    <xf numFmtId="0" fontId="4" fillId="11" borderId="4" xfId="0" applyFont="1" applyFill="1" applyBorder="1" applyAlignment="1" applyProtection="1">
      <alignment horizontal="left" vertical="center" wrapText="1"/>
      <protection hidden="1"/>
    </xf>
    <xf numFmtId="0" fontId="15" fillId="11" borderId="0" xfId="0" applyFont="1" applyFill="1" applyAlignment="1" applyProtection="1">
      <alignment horizontal="left" vertical="center"/>
      <protection hidden="1"/>
    </xf>
    <xf numFmtId="0" fontId="15" fillId="11" borderId="5" xfId="0" applyFont="1" applyFill="1" applyBorder="1" applyAlignment="1" applyProtection="1">
      <alignment horizontal="left" vertical="center"/>
      <protection hidden="1"/>
    </xf>
    <xf numFmtId="0" fontId="15" fillId="11" borderId="4" xfId="0" applyFont="1" applyFill="1" applyBorder="1" applyAlignment="1" applyProtection="1">
      <alignment horizontal="left" vertical="center"/>
      <protection hidden="1"/>
    </xf>
    <xf numFmtId="0" fontId="15" fillId="11" borderId="6" xfId="0" applyFont="1" applyFill="1" applyBorder="1" applyAlignment="1" applyProtection="1">
      <alignment horizontal="left" vertical="center"/>
      <protection hidden="1"/>
    </xf>
    <xf numFmtId="0" fontId="15" fillId="11" borderId="7" xfId="0" applyFont="1" applyFill="1" applyBorder="1" applyAlignment="1" applyProtection="1">
      <alignment horizontal="left" vertical="center"/>
      <protection hidden="1"/>
    </xf>
    <xf numFmtId="0" fontId="15" fillId="11" borderId="8" xfId="0" applyFont="1" applyFill="1" applyBorder="1" applyAlignment="1" applyProtection="1">
      <alignment horizontal="left" vertical="center"/>
      <protection hidden="1"/>
    </xf>
    <xf numFmtId="0" fontId="4" fillId="11" borderId="0" xfId="0" applyFont="1" applyFill="1" applyAlignment="1" applyProtection="1">
      <alignment horizontal="left" vertical="center" wrapText="1"/>
      <protection hidden="1"/>
    </xf>
    <xf numFmtId="0" fontId="4" fillId="11" borderId="5" xfId="0" applyFont="1" applyFill="1" applyBorder="1" applyAlignment="1" applyProtection="1">
      <alignment horizontal="left" vertical="center" wrapText="1"/>
      <protection hidden="1"/>
    </xf>
    <xf numFmtId="0" fontId="1" fillId="9" borderId="4" xfId="0" applyFont="1" applyFill="1" applyBorder="1" applyAlignment="1" applyProtection="1">
      <alignment horizontal="left" vertical="center" wrapText="1"/>
      <protection hidden="1"/>
    </xf>
    <xf numFmtId="0" fontId="4" fillId="9" borderId="0" xfId="0" applyFont="1" applyFill="1" applyAlignment="1" applyProtection="1">
      <alignment horizontal="left" vertical="center" wrapText="1"/>
      <protection hidden="1"/>
    </xf>
    <xf numFmtId="0" fontId="4" fillId="9" borderId="5" xfId="0" applyFont="1" applyFill="1" applyBorder="1" applyAlignment="1" applyProtection="1">
      <alignment horizontal="left" vertical="center" wrapText="1"/>
      <protection hidden="1"/>
    </xf>
    <xf numFmtId="0" fontId="21" fillId="10" borderId="1" xfId="0" applyFont="1" applyFill="1" applyBorder="1" applyAlignment="1" applyProtection="1">
      <alignment horizontal="left" vertical="center" wrapText="1"/>
      <protection hidden="1"/>
    </xf>
    <xf numFmtId="0" fontId="22" fillId="10" borderId="2" xfId="0" applyFont="1" applyFill="1" applyBorder="1" applyAlignment="1" applyProtection="1">
      <alignment horizontal="left" vertical="center"/>
      <protection hidden="1"/>
    </xf>
    <xf numFmtId="0" fontId="22" fillId="10" borderId="3" xfId="0" applyFont="1" applyFill="1" applyBorder="1" applyAlignment="1" applyProtection="1">
      <alignment horizontal="left" vertical="center"/>
      <protection hidden="1"/>
    </xf>
    <xf numFmtId="0" fontId="4" fillId="11" borderId="4" xfId="0" applyFont="1" applyFill="1" applyBorder="1" applyAlignment="1" applyProtection="1">
      <alignment vertical="center" wrapText="1"/>
      <protection hidden="1"/>
    </xf>
    <xf numFmtId="0" fontId="4" fillId="11" borderId="0" xfId="0" applyFont="1" applyFill="1" applyAlignment="1" applyProtection="1">
      <alignment vertical="center" wrapText="1"/>
      <protection hidden="1"/>
    </xf>
    <xf numFmtId="0" fontId="4" fillId="11" borderId="5" xfId="0" applyFont="1" applyFill="1" applyBorder="1" applyAlignment="1" applyProtection="1">
      <alignment vertical="center" wrapText="1"/>
      <protection hidden="1"/>
    </xf>
    <xf numFmtId="0" fontId="11" fillId="0" borderId="1" xfId="0" applyFont="1" applyBorder="1" applyAlignment="1" applyProtection="1">
      <alignment horizontal="left" vertical="top" wrapText="1"/>
      <protection hidden="1"/>
    </xf>
    <xf numFmtId="0" fontId="11" fillId="0" borderId="2" xfId="0" applyFont="1" applyBorder="1" applyAlignment="1" applyProtection="1">
      <alignment horizontal="left" vertical="top" wrapText="1"/>
      <protection hidden="1"/>
    </xf>
    <xf numFmtId="0" fontId="11" fillId="0" borderId="3" xfId="0" applyFont="1" applyBorder="1" applyAlignment="1" applyProtection="1">
      <alignment horizontal="left" vertical="top" wrapText="1"/>
      <protection hidden="1"/>
    </xf>
    <xf numFmtId="0" fontId="11" fillId="0" borderId="4" xfId="0" applyFont="1" applyBorder="1" applyAlignment="1" applyProtection="1">
      <alignment horizontal="left" vertical="top" wrapText="1"/>
      <protection hidden="1"/>
    </xf>
    <xf numFmtId="0" fontId="11" fillId="0" borderId="0" xfId="0" applyFont="1" applyAlignment="1" applyProtection="1">
      <alignment horizontal="left" vertical="top" wrapText="1"/>
      <protection hidden="1"/>
    </xf>
    <xf numFmtId="0" fontId="11" fillId="0" borderId="5" xfId="0" applyFont="1" applyBorder="1" applyAlignment="1" applyProtection="1">
      <alignment horizontal="left" vertical="top" wrapText="1"/>
      <protection hidden="1"/>
    </xf>
    <xf numFmtId="0" fontId="11" fillId="0" borderId="6" xfId="0" applyFont="1" applyBorder="1" applyAlignment="1" applyProtection="1">
      <alignment horizontal="left" vertical="top" wrapText="1"/>
      <protection hidden="1"/>
    </xf>
    <xf numFmtId="0" fontId="11" fillId="0" borderId="7" xfId="0" applyFont="1" applyBorder="1" applyAlignment="1" applyProtection="1">
      <alignment horizontal="left" vertical="top" wrapText="1"/>
      <protection hidden="1"/>
    </xf>
    <xf numFmtId="0" fontId="11" fillId="0" borderId="8" xfId="0" applyFont="1" applyBorder="1" applyAlignment="1" applyProtection="1">
      <alignment horizontal="left" vertical="top" wrapText="1"/>
      <protection hidden="1"/>
    </xf>
    <xf numFmtId="0" fontId="4" fillId="0" borderId="0" xfId="0" quotePrefix="1"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1" fillId="5" borderId="0" xfId="0" applyFont="1" applyFill="1" applyAlignment="1" applyProtection="1">
      <alignment horizontal="left" vertical="center"/>
      <protection hidden="1"/>
    </xf>
    <xf numFmtId="0" fontId="13" fillId="0" borderId="0" xfId="0" applyFont="1" applyAlignment="1" applyProtection="1">
      <alignment horizontal="left"/>
      <protection hidden="1"/>
    </xf>
    <xf numFmtId="0" fontId="1" fillId="4" borderId="0" xfId="0" applyFont="1" applyFill="1" applyAlignment="1" applyProtection="1">
      <alignment horizontal="left" vertical="center"/>
      <protection hidden="1"/>
    </xf>
    <xf numFmtId="0" fontId="1" fillId="3" borderId="0" xfId="0" applyFont="1" applyFill="1" applyAlignment="1" applyProtection="1">
      <alignment horizontal="left" vertical="center"/>
      <protection hidden="1"/>
    </xf>
    <xf numFmtId="0" fontId="8" fillId="0" borderId="0" xfId="0" applyFont="1" applyAlignment="1" applyProtection="1">
      <alignment horizontal="left"/>
      <protection hidden="1"/>
    </xf>
    <xf numFmtId="0" fontId="4" fillId="0" borderId="0" xfId="0" applyFont="1" applyAlignment="1" applyProtection="1">
      <alignment horizontal="left"/>
      <protection hidden="1"/>
    </xf>
    <xf numFmtId="0" fontId="9" fillId="0" borderId="0" xfId="0" applyFont="1" applyAlignment="1" applyProtection="1">
      <alignment horizontal="left"/>
      <protection hidden="1"/>
    </xf>
    <xf numFmtId="0" fontId="1" fillId="10" borderId="0" xfId="0" applyFont="1" applyFill="1" applyAlignment="1" applyProtection="1">
      <alignment horizontal="left" vertical="center"/>
      <protection hidden="1"/>
    </xf>
    <xf numFmtId="0" fontId="0" fillId="10" borderId="0" xfId="0" applyFill="1" applyAlignment="1" applyProtection="1">
      <alignment horizontal="left" vertical="center"/>
      <protection hidden="1"/>
    </xf>
    <xf numFmtId="0" fontId="1" fillId="2" borderId="0" xfId="0" applyFont="1" applyFill="1" applyAlignment="1" applyProtection="1">
      <alignment horizontal="left"/>
      <protection hidden="1"/>
    </xf>
    <xf numFmtId="0" fontId="6" fillId="0" borderId="0" xfId="0" applyFont="1" applyAlignment="1" applyProtection="1">
      <alignment horizontal="left"/>
      <protection hidden="1"/>
    </xf>
    <xf numFmtId="0" fontId="12" fillId="0" borderId="0" xfId="0" applyFont="1" applyAlignment="1" applyProtection="1">
      <alignment horizontal="left"/>
      <protection hidden="1"/>
    </xf>
    <xf numFmtId="0" fontId="4" fillId="0" borderId="0" xfId="0" applyFont="1" applyAlignment="1" applyProtection="1">
      <alignment horizontal="center" vertical="top" wrapText="1"/>
      <protection locked="0"/>
    </xf>
    <xf numFmtId="0" fontId="14" fillId="0" borderId="0" xfId="0" applyFont="1" applyAlignment="1" applyProtection="1">
      <alignment horizontal="left"/>
      <protection hidden="1"/>
    </xf>
    <xf numFmtId="0" fontId="1" fillId="6" borderId="0" xfId="0" applyFont="1" applyFill="1" applyAlignment="1" applyProtection="1">
      <alignment horizontal="left" vertical="center"/>
      <protection hidden="1"/>
    </xf>
    <xf numFmtId="0" fontId="10" fillId="0" borderId="0" xfId="0" applyFont="1" applyAlignment="1" applyProtection="1">
      <alignment horizontal="left"/>
      <protection hidden="1"/>
    </xf>
    <xf numFmtId="0" fontId="11" fillId="0" borderId="0" xfId="0" applyFont="1" applyAlignment="1" applyProtection="1">
      <alignment horizontal="left"/>
      <protection hidden="1"/>
    </xf>
    <xf numFmtId="0" fontId="1" fillId="7" borderId="0" xfId="0" applyFont="1" applyFill="1" applyAlignment="1" applyProtection="1">
      <alignment horizontal="left" vertical="center"/>
      <protection hidden="1"/>
    </xf>
    <xf numFmtId="0" fontId="0" fillId="0" borderId="0" xfId="0" applyAlignment="1" applyProtection="1">
      <alignment horizontal="center" vertical="top" wrapText="1"/>
      <protection locked="0"/>
    </xf>
    <xf numFmtId="0" fontId="19" fillId="0" borderId="0" xfId="0" applyFont="1" applyAlignment="1" applyProtection="1">
      <alignment horizontal="left"/>
      <protection hidden="1"/>
    </xf>
    <xf numFmtId="0" fontId="0" fillId="0" borderId="0" xfId="0" applyAlignment="1" applyProtection="1">
      <alignment horizontal="left"/>
      <protection hidden="1"/>
    </xf>
    <xf numFmtId="0" fontId="0" fillId="0" borderId="0" xfId="0" applyAlignment="1" applyProtection="1">
      <alignment horizontal="center"/>
      <protection locked="0"/>
    </xf>
    <xf numFmtId="0" fontId="2" fillId="0" borderId="0" xfId="0" applyFont="1" applyAlignment="1" applyProtection="1">
      <alignment horizontal="left"/>
      <protection hidden="1"/>
    </xf>
    <xf numFmtId="0" fontId="1" fillId="9" borderId="9" xfId="0" applyFont="1" applyFill="1" applyBorder="1" applyAlignment="1" applyProtection="1">
      <alignment horizontal="center" vertical="top"/>
      <protection hidden="1"/>
    </xf>
    <xf numFmtId="0" fontId="1" fillId="9" borderId="10" xfId="0" applyFont="1" applyFill="1" applyBorder="1" applyAlignment="1" applyProtection="1">
      <alignment horizontal="center" vertical="top"/>
      <protection hidden="1"/>
    </xf>
    <xf numFmtId="0" fontId="1" fillId="9" borderId="11" xfId="0" applyFont="1" applyFill="1" applyBorder="1" applyAlignment="1" applyProtection="1">
      <alignment horizontal="center" vertical="top"/>
      <protection hidden="1"/>
    </xf>
    <xf numFmtId="0" fontId="4" fillId="0" borderId="0" xfId="0" applyFont="1" applyAlignment="1" applyProtection="1">
      <alignment horizontal="center" vertical="center"/>
      <protection hidden="1"/>
    </xf>
    <xf numFmtId="0" fontId="11" fillId="0" borderId="5" xfId="0" applyFont="1" applyBorder="1" applyAlignment="1" applyProtection="1">
      <alignment horizontal="center" vertical="center"/>
      <protection hidden="1"/>
    </xf>
    <xf numFmtId="0" fontId="4" fillId="0" borderId="0" xfId="0" applyFont="1" applyAlignment="1" applyProtection="1">
      <alignment horizontal="center" vertical="top"/>
      <protection hidden="1"/>
    </xf>
    <xf numFmtId="0" fontId="4" fillId="0" borderId="5" xfId="0" applyFont="1" applyBorder="1" applyAlignment="1" applyProtection="1">
      <alignment horizontal="center" vertical="top"/>
      <protection hidden="1"/>
    </xf>
    <xf numFmtId="0" fontId="4" fillId="0" borderId="7" xfId="0" applyFont="1" applyBorder="1" applyAlignment="1" applyProtection="1">
      <alignment horizontal="center" vertical="top"/>
      <protection hidden="1"/>
    </xf>
    <xf numFmtId="0" fontId="4" fillId="0" borderId="8" xfId="0" applyFont="1" applyBorder="1" applyAlignment="1" applyProtection="1">
      <alignment horizontal="center" vertical="top"/>
      <protection hidden="1"/>
    </xf>
    <xf numFmtId="0" fontId="1" fillId="9" borderId="0" xfId="0" applyFont="1" applyFill="1" applyAlignment="1" applyProtection="1">
      <alignment horizontal="center" vertical="center"/>
      <protection hidden="1"/>
    </xf>
    <xf numFmtId="0" fontId="4" fillId="0" borderId="0" xfId="0" applyFont="1" applyAlignment="1" applyProtection="1">
      <alignment horizontal="left" vertical="center"/>
      <protection locked="0"/>
    </xf>
    <xf numFmtId="0" fontId="4" fillId="0" borderId="0" xfId="0" applyFont="1" applyAlignment="1" applyProtection="1">
      <alignment horizontal="center" vertical="center"/>
      <protection locked="0"/>
    </xf>
    <xf numFmtId="0" fontId="1" fillId="9" borderId="0" xfId="0" applyFont="1" applyFill="1" applyAlignment="1" applyProtection="1">
      <alignment horizontal="center"/>
      <protection hidden="1"/>
    </xf>
    <xf numFmtId="0" fontId="0" fillId="9" borderId="0" xfId="0" applyFill="1" applyAlignment="1" applyProtection="1">
      <alignment horizontal="center"/>
      <protection hidden="1"/>
    </xf>
    <xf numFmtId="0" fontId="0" fillId="9" borderId="0" xfId="0" applyFill="1" applyAlignment="1" applyProtection="1">
      <alignment horizontal="center" vertical="center"/>
      <protection hidden="1"/>
    </xf>
    <xf numFmtId="0" fontId="0" fillId="0" borderId="0" xfId="0" applyAlignment="1">
      <alignment horizontal="left"/>
    </xf>
    <xf numFmtId="0" fontId="0" fillId="0" borderId="0" xfId="0" applyAlignment="1">
      <alignment horizontal="center"/>
    </xf>
    <xf numFmtId="0" fontId="1" fillId="3" borderId="0" xfId="0" applyFont="1" applyFill="1" applyAlignment="1" applyProtection="1">
      <alignment horizontal="center"/>
      <protection hidden="1"/>
    </xf>
    <xf numFmtId="0" fontId="11" fillId="0" borderId="0" xfId="0" applyFont="1" applyAlignment="1" applyProtection="1">
      <alignment horizontal="center" vertical="center"/>
      <protection hidden="1"/>
    </xf>
    <xf numFmtId="0" fontId="15" fillId="0" borderId="0" xfId="0" applyFont="1" applyAlignment="1" applyProtection="1">
      <alignment horizontal="center" vertical="center"/>
      <protection hidden="1"/>
    </xf>
  </cellXfs>
  <cellStyles count="1">
    <cellStyle name="Standaard" xfId="0" builtinId="0"/>
  </cellStyles>
  <dxfs count="0"/>
  <tableStyles count="0" defaultTableStyle="TableStyleMedium2" defaultPivotStyle="PivotStyleLight16"/>
  <colors>
    <mruColors>
      <color rgb="FF3FB1E5"/>
      <color rgb="FF003768"/>
      <color rgb="FF81CBEB"/>
      <color rgb="FFA3DCFF"/>
      <color rgb="FF3DB1E5"/>
      <color rgb="FF3366FF"/>
      <color rgb="FF0070C0"/>
      <color rgb="FF0099CC"/>
      <color rgb="FF003668"/>
      <color rgb="FF29A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nl-NL" sz="900" b="1">
                <a:solidFill>
                  <a:sysClr val="windowText" lastClr="000000"/>
                </a:solidFill>
                <a:latin typeface="Arial" panose="020B0604020202020204" pitchFamily="34" charset="0"/>
                <a:cs typeface="Arial" panose="020B0604020202020204" pitchFamily="34" charset="0"/>
              </a:rPr>
              <a:t>Practice domain</a:t>
            </a:r>
            <a:r>
              <a:rPr lang="nl-NL" sz="900" b="1" baseline="0">
                <a:solidFill>
                  <a:sysClr val="windowText" lastClr="000000"/>
                </a:solidFill>
                <a:latin typeface="Arial" panose="020B0604020202020204" pitchFamily="34" charset="0"/>
                <a:cs typeface="Arial" panose="020B0604020202020204" pitchFamily="34" charset="0"/>
              </a:rPr>
              <a:t> maturity</a:t>
            </a:r>
            <a:endParaRPr lang="nl-NL" sz="900" b="1">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1.4610903456728164E-2"/>
          <c:y val="2.399497808522668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barChart>
        <c:barDir val="bar"/>
        <c:grouping val="clustered"/>
        <c:varyColors val="0"/>
        <c:ser>
          <c:idx val="0"/>
          <c:order val="0"/>
          <c:spPr>
            <a:solidFill>
              <a:schemeClr val="accent1"/>
            </a:solidFill>
            <a:ln>
              <a:noFill/>
            </a:ln>
            <a:effectLst/>
          </c:spPr>
          <c:invertIfNegative val="0"/>
          <c:cat>
            <c:strRef>
              <c:f>'Assessment report'!$A$15:$A$20</c:f>
              <c:strCache>
                <c:ptCount val="6"/>
                <c:pt idx="0">
                  <c:v>Data</c:v>
                </c:pt>
                <c:pt idx="1">
                  <c:v>Training</c:v>
                </c:pt>
                <c:pt idx="2">
                  <c:v>Coding</c:v>
                </c:pt>
                <c:pt idx="3">
                  <c:v>Deployment</c:v>
                </c:pt>
                <c:pt idx="4">
                  <c:v>Team</c:v>
                </c:pt>
                <c:pt idx="5">
                  <c:v>Governance</c:v>
                </c:pt>
              </c:strCache>
            </c:strRef>
          </c:cat>
          <c:val>
            <c:numRef>
              <c:f>Hidden!$A$9:$A$14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6CA-4313-996C-5995B3AEF4A0}"/>
            </c:ext>
          </c:extLst>
        </c:ser>
        <c:dLbls>
          <c:showLegendKey val="0"/>
          <c:showVal val="0"/>
          <c:showCatName val="0"/>
          <c:showSerName val="0"/>
          <c:showPercent val="0"/>
          <c:showBubbleSize val="0"/>
        </c:dLbls>
        <c:gapWidth val="150"/>
        <c:axId val="1516796351"/>
        <c:axId val="1516801759"/>
      </c:barChart>
      <c:catAx>
        <c:axId val="1516796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nl-NL"/>
          </a:p>
        </c:txPr>
        <c:crossAx val="1516801759"/>
        <c:crosses val="autoZero"/>
        <c:auto val="1"/>
        <c:lblAlgn val="ctr"/>
        <c:lblOffset val="100"/>
        <c:noMultiLvlLbl val="0"/>
      </c:catAx>
      <c:valAx>
        <c:axId val="1516801759"/>
        <c:scaling>
          <c:orientation val="minMax"/>
          <c:max val="3"/>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nl-NL"/>
          </a:p>
        </c:txPr>
        <c:crossAx val="1516796351"/>
        <c:crosses val="autoZero"/>
        <c:crossBetween val="between"/>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nl-NL" sz="900" b="1">
                <a:solidFill>
                  <a:sysClr val="windowText" lastClr="000000"/>
                </a:solidFill>
                <a:latin typeface="Arial" panose="020B0604020202020204" pitchFamily="34" charset="0"/>
                <a:cs typeface="Arial" panose="020B0604020202020204" pitchFamily="34" charset="0"/>
              </a:rPr>
              <a:t>Practice domain</a:t>
            </a:r>
            <a:r>
              <a:rPr lang="nl-NL" sz="900" b="1" baseline="0">
                <a:solidFill>
                  <a:sysClr val="windowText" lastClr="000000"/>
                </a:solidFill>
                <a:latin typeface="Arial" panose="020B0604020202020204" pitchFamily="34" charset="0"/>
                <a:cs typeface="Arial" panose="020B0604020202020204" pitchFamily="34" charset="0"/>
              </a:rPr>
              <a:t> maturity</a:t>
            </a:r>
            <a:endParaRPr lang="nl-NL" sz="900" b="1">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1.4610903456728164E-2"/>
          <c:y val="2.399497808522668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barChart>
        <c:barDir val="bar"/>
        <c:grouping val="clustered"/>
        <c:varyColors val="0"/>
        <c:ser>
          <c:idx val="0"/>
          <c:order val="0"/>
          <c:tx>
            <c:v>Obtained maturity</c:v>
          </c:tx>
          <c:spPr>
            <a:solidFill>
              <a:schemeClr val="accent5">
                <a:lumMod val="75000"/>
              </a:schemeClr>
            </a:solidFill>
            <a:ln>
              <a:noFill/>
            </a:ln>
            <a:effectLst/>
          </c:spPr>
          <c:invertIfNegative val="0"/>
          <c:cat>
            <c:strRef>
              <c:f>'Process improvement'!$A$7:$A$12</c:f>
              <c:strCache>
                <c:ptCount val="6"/>
                <c:pt idx="0">
                  <c:v>Data</c:v>
                </c:pt>
                <c:pt idx="1">
                  <c:v>Training</c:v>
                </c:pt>
                <c:pt idx="2">
                  <c:v>Coding</c:v>
                </c:pt>
                <c:pt idx="3">
                  <c:v>Deployment</c:v>
                </c:pt>
                <c:pt idx="4">
                  <c:v>Team</c:v>
                </c:pt>
                <c:pt idx="5">
                  <c:v>Governance</c:v>
                </c:pt>
              </c:strCache>
            </c:strRef>
          </c:cat>
          <c:val>
            <c:numRef>
              <c:f>Hidden!$A$1:$A$6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D83-4AAF-8FCE-C715DEE232B0}"/>
            </c:ext>
          </c:extLst>
        </c:ser>
        <c:ser>
          <c:idx val="1"/>
          <c:order val="1"/>
          <c:tx>
            <c:v>Desired maturity</c:v>
          </c:tx>
          <c:spPr>
            <a:solidFill>
              <a:schemeClr val="accent5">
                <a:lumMod val="60000"/>
                <a:lumOff val="40000"/>
              </a:schemeClr>
            </a:solidFill>
            <a:ln>
              <a:noFill/>
            </a:ln>
            <a:effectLst/>
          </c:spPr>
          <c:invertIfNegative val="0"/>
          <c:cat>
            <c:strRef>
              <c:f>'Process improvement'!$A$7:$A$12</c:f>
              <c:strCache>
                <c:ptCount val="6"/>
                <c:pt idx="0">
                  <c:v>Data</c:v>
                </c:pt>
                <c:pt idx="1">
                  <c:v>Training</c:v>
                </c:pt>
                <c:pt idx="2">
                  <c:v>Coding</c:v>
                </c:pt>
                <c:pt idx="3">
                  <c:v>Deployment</c:v>
                </c:pt>
                <c:pt idx="4">
                  <c:v>Team</c:v>
                </c:pt>
                <c:pt idx="5">
                  <c:v>Governance</c:v>
                </c:pt>
              </c:strCache>
            </c:strRef>
          </c:cat>
          <c:val>
            <c:numRef>
              <c:f>Hidden!$B$1:$B$6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3D83-4AAF-8FCE-C715DEE232B0}"/>
            </c:ext>
          </c:extLst>
        </c:ser>
        <c:dLbls>
          <c:showLegendKey val="0"/>
          <c:showVal val="0"/>
          <c:showCatName val="0"/>
          <c:showSerName val="0"/>
          <c:showPercent val="0"/>
          <c:showBubbleSize val="0"/>
        </c:dLbls>
        <c:gapWidth val="150"/>
        <c:axId val="1516796351"/>
        <c:axId val="1516801759"/>
      </c:barChart>
      <c:catAx>
        <c:axId val="1516796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nl-NL"/>
          </a:p>
        </c:txPr>
        <c:crossAx val="1516801759"/>
        <c:crosses val="autoZero"/>
        <c:auto val="1"/>
        <c:lblAlgn val="ctr"/>
        <c:lblOffset val="100"/>
        <c:noMultiLvlLbl val="0"/>
      </c:catAx>
      <c:valAx>
        <c:axId val="1516801759"/>
        <c:scaling>
          <c:orientation val="minMax"/>
          <c:max val="3"/>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nl-NL"/>
          </a:p>
        </c:txPr>
        <c:crossAx val="1516796351"/>
        <c:crosses val="autoZero"/>
        <c:crossBetween val="between"/>
        <c:maj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nl-NL"/>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1370240</xdr:colOff>
      <xdr:row>13</xdr:row>
      <xdr:rowOff>176213</xdr:rowOff>
    </xdr:from>
    <xdr:to>
      <xdr:col>8</xdr:col>
      <xdr:colOff>608240</xdr:colOff>
      <xdr:row>29</xdr:row>
      <xdr:rowOff>3176</xdr:rowOff>
    </xdr:to>
    <xdr:graphicFrame macro="">
      <xdr:nvGraphicFramePr>
        <xdr:cNvPr id="6" name="Grafiek 5">
          <a:extLst>
            <a:ext uri="{FF2B5EF4-FFF2-40B4-BE49-F238E27FC236}">
              <a16:creationId xmlns:a16="http://schemas.microsoft.com/office/drawing/2014/main" id="{8A5B124D-580D-4994-8CCB-FA34663855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10885</xdr:colOff>
      <xdr:row>5</xdr:row>
      <xdr:rowOff>177933</xdr:rowOff>
    </xdr:from>
    <xdr:to>
      <xdr:col>7</xdr:col>
      <xdr:colOff>327897</xdr:colOff>
      <xdr:row>21</xdr:row>
      <xdr:rowOff>58203</xdr:rowOff>
    </xdr:to>
    <xdr:graphicFrame macro="">
      <xdr:nvGraphicFramePr>
        <xdr:cNvPr id="4" name="Grafiek 3">
          <a:extLst>
            <a:ext uri="{FF2B5EF4-FFF2-40B4-BE49-F238E27FC236}">
              <a16:creationId xmlns:a16="http://schemas.microsoft.com/office/drawing/2014/main" id="{F2D08408-E138-46BB-98A7-8258E6F7CB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785B0-BCBF-44C3-B896-F042D6F57398}">
  <sheetPr codeName="Blad5"/>
  <dimension ref="B3:F31"/>
  <sheetViews>
    <sheetView tabSelected="1" zoomScaleNormal="100" workbookViewId="0">
      <selection activeCell="B29" sqref="B29:F31"/>
    </sheetView>
  </sheetViews>
  <sheetFormatPr defaultColWidth="8.86328125" defaultRowHeight="14.25" x14ac:dyDescent="0.45"/>
  <cols>
    <col min="1" max="1" width="8.86328125" style="26"/>
    <col min="2" max="2" width="11.796875" style="26" customWidth="1"/>
    <col min="3" max="4" width="20" style="26" customWidth="1"/>
    <col min="5" max="5" width="22.796875" style="26" customWidth="1"/>
    <col min="6" max="6" width="50.796875" style="26" customWidth="1"/>
    <col min="7" max="16384" width="8.86328125" style="26"/>
  </cols>
  <sheetData>
    <row r="3" spans="2:6" ht="57" customHeight="1" x14ac:dyDescent="0.45">
      <c r="B3" s="93" t="s">
        <v>175</v>
      </c>
      <c r="C3" s="94"/>
      <c r="D3" s="94"/>
      <c r="E3" s="94"/>
      <c r="F3" s="95"/>
    </row>
    <row r="4" spans="2:6" ht="21" customHeight="1" x14ac:dyDescent="0.45">
      <c r="B4" s="78" t="s">
        <v>100</v>
      </c>
      <c r="C4" s="79"/>
      <c r="D4" s="79"/>
      <c r="E4" s="79"/>
      <c r="F4" s="80"/>
    </row>
    <row r="5" spans="2:6" x14ac:dyDescent="0.45">
      <c r="B5" s="81" t="s">
        <v>171</v>
      </c>
      <c r="C5" s="88"/>
      <c r="D5" s="88"/>
      <c r="E5" s="88"/>
      <c r="F5" s="89"/>
    </row>
    <row r="6" spans="2:6" x14ac:dyDescent="0.45">
      <c r="B6" s="81"/>
      <c r="C6" s="88"/>
      <c r="D6" s="88"/>
      <c r="E6" s="88"/>
      <c r="F6" s="89"/>
    </row>
    <row r="7" spans="2:6" x14ac:dyDescent="0.45">
      <c r="B7" s="81"/>
      <c r="C7" s="88"/>
      <c r="D7" s="88"/>
      <c r="E7" s="88"/>
      <c r="F7" s="89"/>
    </row>
    <row r="8" spans="2:6" x14ac:dyDescent="0.45">
      <c r="B8" s="81"/>
      <c r="C8" s="88"/>
      <c r="D8" s="88"/>
      <c r="E8" s="88"/>
      <c r="F8" s="89"/>
    </row>
    <row r="9" spans="2:6" ht="21" customHeight="1" x14ac:dyDescent="0.45">
      <c r="B9" s="78" t="s">
        <v>101</v>
      </c>
      <c r="C9" s="79"/>
      <c r="D9" s="79"/>
      <c r="E9" s="79"/>
      <c r="F9" s="80"/>
    </row>
    <row r="10" spans="2:6" ht="14.45" customHeight="1" x14ac:dyDescent="0.45">
      <c r="B10" s="96" t="s">
        <v>164</v>
      </c>
      <c r="C10" s="97"/>
      <c r="D10" s="97"/>
      <c r="E10" s="97"/>
      <c r="F10" s="98"/>
    </row>
    <row r="11" spans="2:6" x14ac:dyDescent="0.45">
      <c r="B11" s="96"/>
      <c r="C11" s="97"/>
      <c r="D11" s="97"/>
      <c r="E11" s="97"/>
      <c r="F11" s="98"/>
    </row>
    <row r="12" spans="2:6" x14ac:dyDescent="0.45">
      <c r="B12" s="96"/>
      <c r="C12" s="97"/>
      <c r="D12" s="97"/>
      <c r="E12" s="97"/>
      <c r="F12" s="98"/>
    </row>
    <row r="13" spans="2:6" x14ac:dyDescent="0.45">
      <c r="B13" s="96"/>
      <c r="C13" s="97"/>
      <c r="D13" s="97"/>
      <c r="E13" s="97"/>
      <c r="F13" s="98"/>
    </row>
    <row r="14" spans="2:6" x14ac:dyDescent="0.45">
      <c r="B14" s="96"/>
      <c r="C14" s="97"/>
      <c r="D14" s="97"/>
      <c r="E14" s="97"/>
      <c r="F14" s="98"/>
    </row>
    <row r="15" spans="2:6" x14ac:dyDescent="0.45">
      <c r="B15" s="96"/>
      <c r="C15" s="97"/>
      <c r="D15" s="97"/>
      <c r="E15" s="97"/>
      <c r="F15" s="98"/>
    </row>
    <row r="16" spans="2:6" x14ac:dyDescent="0.45">
      <c r="B16" s="96"/>
      <c r="C16" s="97"/>
      <c r="D16" s="97"/>
      <c r="E16" s="97"/>
      <c r="F16" s="98"/>
    </row>
    <row r="17" spans="2:6" x14ac:dyDescent="0.45">
      <c r="B17" s="96"/>
      <c r="C17" s="97"/>
      <c r="D17" s="97"/>
      <c r="E17" s="97"/>
      <c r="F17" s="98"/>
    </row>
    <row r="18" spans="2:6" x14ac:dyDescent="0.45">
      <c r="B18" s="96"/>
      <c r="C18" s="97"/>
      <c r="D18" s="97"/>
      <c r="E18" s="97"/>
      <c r="F18" s="98"/>
    </row>
    <row r="19" spans="2:6" ht="25.25" customHeight="1" x14ac:dyDescent="0.45">
      <c r="B19" s="78" t="s">
        <v>103</v>
      </c>
      <c r="C19" s="79"/>
      <c r="D19" s="79"/>
      <c r="E19" s="79"/>
      <c r="F19" s="80"/>
    </row>
    <row r="20" spans="2:6" x14ac:dyDescent="0.45">
      <c r="B20" s="81" t="s">
        <v>172</v>
      </c>
      <c r="C20" s="88"/>
      <c r="D20" s="88"/>
      <c r="E20" s="88"/>
      <c r="F20" s="89"/>
    </row>
    <row r="21" spans="2:6" x14ac:dyDescent="0.45">
      <c r="B21" s="81"/>
      <c r="C21" s="88"/>
      <c r="D21" s="88"/>
      <c r="E21" s="88"/>
      <c r="F21" s="89"/>
    </row>
    <row r="22" spans="2:6" ht="4.25" customHeight="1" x14ac:dyDescent="0.45">
      <c r="B22" s="81"/>
      <c r="C22" s="88"/>
      <c r="D22" s="88"/>
      <c r="E22" s="88"/>
      <c r="F22" s="89"/>
    </row>
    <row r="23" spans="2:6" ht="104.45" customHeight="1" x14ac:dyDescent="0.45">
      <c r="B23" s="81"/>
      <c r="C23" s="88"/>
      <c r="D23" s="88"/>
      <c r="E23" s="88"/>
      <c r="F23" s="89"/>
    </row>
    <row r="24" spans="2:6" ht="25.25" customHeight="1" x14ac:dyDescent="0.45">
      <c r="B24" s="90" t="s">
        <v>104</v>
      </c>
      <c r="C24" s="91"/>
      <c r="D24" s="91"/>
      <c r="E24" s="91"/>
      <c r="F24" s="92"/>
    </row>
    <row r="25" spans="2:6" x14ac:dyDescent="0.45">
      <c r="B25" s="81" t="s">
        <v>173</v>
      </c>
      <c r="C25" s="88"/>
      <c r="D25" s="88"/>
      <c r="E25" s="88"/>
      <c r="F25" s="89"/>
    </row>
    <row r="26" spans="2:6" x14ac:dyDescent="0.45">
      <c r="B26" s="81"/>
      <c r="C26" s="88"/>
      <c r="D26" s="88"/>
      <c r="E26" s="88"/>
      <c r="F26" s="89"/>
    </row>
    <row r="27" spans="2:6" x14ac:dyDescent="0.45">
      <c r="B27" s="81"/>
      <c r="C27" s="88"/>
      <c r="D27" s="88"/>
      <c r="E27" s="88"/>
      <c r="F27" s="89"/>
    </row>
    <row r="28" spans="2:6" ht="21" customHeight="1" x14ac:dyDescent="0.45">
      <c r="B28" s="78" t="s">
        <v>102</v>
      </c>
      <c r="C28" s="79"/>
      <c r="D28" s="79"/>
      <c r="E28" s="79"/>
      <c r="F28" s="80"/>
    </row>
    <row r="29" spans="2:6" x14ac:dyDescent="0.45">
      <c r="B29" s="81" t="s">
        <v>174</v>
      </c>
      <c r="C29" s="82"/>
      <c r="D29" s="82"/>
      <c r="E29" s="82"/>
      <c r="F29" s="83"/>
    </row>
    <row r="30" spans="2:6" x14ac:dyDescent="0.45">
      <c r="B30" s="84"/>
      <c r="C30" s="82"/>
      <c r="D30" s="82"/>
      <c r="E30" s="82"/>
      <c r="F30" s="83"/>
    </row>
    <row r="31" spans="2:6" x14ac:dyDescent="0.45">
      <c r="B31" s="85"/>
      <c r="C31" s="86"/>
      <c r="D31" s="86"/>
      <c r="E31" s="86"/>
      <c r="F31" s="87"/>
    </row>
  </sheetData>
  <sheetProtection algorithmName="SHA-512" hashValue="akdghPkEGDvDv1vJnApaFGAf9KmJoeIULB3A5/omc0/2WcOlglFsHTJte2se7b9s/D6S0XVJubjq7a2w3cNAUQ==" saltValue="F9vjTgaYON7sEseOGf26SQ==" spinCount="100000" sheet="1" objects="1" scenarios="1"/>
  <mergeCells count="11">
    <mergeCell ref="B3:F3"/>
    <mergeCell ref="B4:F4"/>
    <mergeCell ref="B5:F8"/>
    <mergeCell ref="B9:F9"/>
    <mergeCell ref="B10:F18"/>
    <mergeCell ref="B28:F28"/>
    <mergeCell ref="B29:F31"/>
    <mergeCell ref="B19:F19"/>
    <mergeCell ref="B20:F23"/>
    <mergeCell ref="B24:F24"/>
    <mergeCell ref="B25:F2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0E1D9-2631-46D6-810B-A548FC876217}">
  <sheetPr codeName="Blad2"/>
  <dimension ref="A1:N79"/>
  <sheetViews>
    <sheetView zoomScaleNormal="100" workbookViewId="0">
      <selection activeCell="F3" sqref="F3:M17"/>
    </sheetView>
  </sheetViews>
  <sheetFormatPr defaultRowHeight="14.25" x14ac:dyDescent="0.45"/>
  <cols>
    <col min="1" max="1" width="11.796875" customWidth="1"/>
    <col min="2" max="2" width="62.53125" customWidth="1"/>
    <col min="3" max="3" width="23.33203125" customWidth="1"/>
    <col min="4" max="4" width="50.796875" customWidth="1"/>
    <col min="6" max="6" width="8.86328125" customWidth="1"/>
  </cols>
  <sheetData>
    <row r="1" spans="1:14" ht="25.25" customHeight="1" x14ac:dyDescent="0.45">
      <c r="A1" s="117" t="s">
        <v>91</v>
      </c>
      <c r="B1" s="117"/>
      <c r="C1" s="118"/>
      <c r="D1" s="118"/>
    </row>
    <row r="2" spans="1:14" x14ac:dyDescent="0.45">
      <c r="A2" s="27" t="s">
        <v>0</v>
      </c>
      <c r="B2" s="28" t="s">
        <v>108</v>
      </c>
      <c r="C2" s="27" t="s">
        <v>53</v>
      </c>
      <c r="D2" s="27" t="s">
        <v>52</v>
      </c>
      <c r="E2" s="10"/>
      <c r="F2" s="10"/>
      <c r="G2" s="10"/>
      <c r="H2" s="10"/>
      <c r="I2" s="10"/>
      <c r="L2" s="9"/>
      <c r="M2" s="9"/>
      <c r="N2" s="9"/>
    </row>
    <row r="3" spans="1:14" ht="14.45" customHeight="1" x14ac:dyDescent="0.45">
      <c r="A3" s="119" t="s">
        <v>55</v>
      </c>
      <c r="B3" s="119"/>
      <c r="C3" s="119"/>
      <c r="D3" s="119"/>
      <c r="E3" s="10"/>
      <c r="F3" s="99" t="s">
        <v>169</v>
      </c>
      <c r="G3" s="100"/>
      <c r="H3" s="100"/>
      <c r="I3" s="100"/>
      <c r="J3" s="100"/>
      <c r="K3" s="100"/>
      <c r="L3" s="100"/>
      <c r="M3" s="101"/>
      <c r="N3" s="9"/>
    </row>
    <row r="4" spans="1:14" x14ac:dyDescent="0.45">
      <c r="A4" s="120" t="s">
        <v>56</v>
      </c>
      <c r="B4" s="120"/>
      <c r="C4" s="120"/>
      <c r="D4" s="120"/>
      <c r="F4" s="102"/>
      <c r="G4" s="103"/>
      <c r="H4" s="103"/>
      <c r="I4" s="103"/>
      <c r="J4" s="103"/>
      <c r="K4" s="103"/>
      <c r="L4" s="103"/>
      <c r="M4" s="104"/>
      <c r="N4" s="6"/>
    </row>
    <row r="5" spans="1:14" x14ac:dyDescent="0.45">
      <c r="A5" s="30" t="s">
        <v>7</v>
      </c>
      <c r="B5" s="29" t="s">
        <v>109</v>
      </c>
      <c r="C5" s="21"/>
      <c r="D5" s="21"/>
      <c r="E5" s="11"/>
      <c r="F5" s="102"/>
      <c r="G5" s="103"/>
      <c r="H5" s="103"/>
      <c r="I5" s="103"/>
      <c r="J5" s="103"/>
      <c r="K5" s="103"/>
      <c r="L5" s="103"/>
      <c r="M5" s="104"/>
      <c r="N5" s="6"/>
    </row>
    <row r="6" spans="1:14" x14ac:dyDescent="0.45">
      <c r="A6" s="120" t="s">
        <v>57</v>
      </c>
      <c r="B6" s="120"/>
      <c r="C6" s="120"/>
      <c r="D6" s="120"/>
      <c r="E6" s="11"/>
      <c r="F6" s="102"/>
      <c r="G6" s="103"/>
      <c r="H6" s="103"/>
      <c r="I6" s="103"/>
      <c r="J6" s="103"/>
      <c r="K6" s="103"/>
      <c r="L6" s="103"/>
      <c r="M6" s="104"/>
      <c r="N6" s="6"/>
    </row>
    <row r="7" spans="1:14" x14ac:dyDescent="0.45">
      <c r="A7" s="30" t="s">
        <v>12</v>
      </c>
      <c r="B7" s="31" t="s">
        <v>110</v>
      </c>
      <c r="C7" s="21"/>
      <c r="D7" s="109"/>
      <c r="E7" s="11"/>
      <c r="F7" s="102"/>
      <c r="G7" s="103"/>
      <c r="H7" s="103"/>
      <c r="I7" s="103"/>
      <c r="J7" s="103"/>
      <c r="K7" s="103"/>
      <c r="L7" s="103"/>
      <c r="M7" s="104"/>
    </row>
    <row r="8" spans="1:14" x14ac:dyDescent="0.45">
      <c r="A8" s="17" t="s">
        <v>16</v>
      </c>
      <c r="B8" s="31" t="s">
        <v>111</v>
      </c>
      <c r="C8" s="21"/>
      <c r="D8" s="109"/>
      <c r="E8" s="11"/>
      <c r="F8" s="102"/>
      <c r="G8" s="103"/>
      <c r="H8" s="103"/>
      <c r="I8" s="103"/>
      <c r="J8" s="103"/>
      <c r="K8" s="103"/>
      <c r="L8" s="103"/>
      <c r="M8" s="104"/>
    </row>
    <row r="9" spans="1:14" x14ac:dyDescent="0.45">
      <c r="A9" s="120" t="s">
        <v>58</v>
      </c>
      <c r="B9" s="120"/>
      <c r="C9" s="121"/>
      <c r="D9" s="121"/>
      <c r="E9" s="11"/>
      <c r="F9" s="102"/>
      <c r="G9" s="103"/>
      <c r="H9" s="103"/>
      <c r="I9" s="103"/>
      <c r="J9" s="103"/>
      <c r="K9" s="103"/>
      <c r="L9" s="103"/>
      <c r="M9" s="104"/>
    </row>
    <row r="10" spans="1:14" x14ac:dyDescent="0.45">
      <c r="A10" s="30" t="s">
        <v>29</v>
      </c>
      <c r="B10" s="31" t="s">
        <v>112</v>
      </c>
      <c r="C10" s="21"/>
      <c r="D10" s="109"/>
      <c r="E10" s="11"/>
      <c r="F10" s="102"/>
      <c r="G10" s="103"/>
      <c r="H10" s="103"/>
      <c r="I10" s="103"/>
      <c r="J10" s="103"/>
      <c r="K10" s="103"/>
      <c r="L10" s="103"/>
      <c r="M10" s="104"/>
    </row>
    <row r="11" spans="1:14" x14ac:dyDescent="0.45">
      <c r="A11" s="30" t="s">
        <v>32</v>
      </c>
      <c r="B11" s="31" t="s">
        <v>113</v>
      </c>
      <c r="C11" s="21"/>
      <c r="D11" s="109"/>
      <c r="E11" s="11"/>
      <c r="F11" s="102"/>
      <c r="G11" s="103"/>
      <c r="H11" s="103"/>
      <c r="I11" s="103"/>
      <c r="J11" s="103"/>
      <c r="K11" s="103"/>
      <c r="L11" s="103"/>
      <c r="M11" s="104"/>
    </row>
    <row r="12" spans="1:14" x14ac:dyDescent="0.45">
      <c r="A12" s="30" t="s">
        <v>33</v>
      </c>
      <c r="B12" s="31" t="s">
        <v>114</v>
      </c>
      <c r="C12" s="21"/>
      <c r="D12" s="109"/>
      <c r="E12" s="11"/>
      <c r="F12" s="102"/>
      <c r="G12" s="103"/>
      <c r="H12" s="103"/>
      <c r="I12" s="103"/>
      <c r="J12" s="103"/>
      <c r="K12" s="103"/>
      <c r="L12" s="103"/>
      <c r="M12" s="104"/>
    </row>
    <row r="13" spans="1:14" x14ac:dyDescent="0.45">
      <c r="A13" s="30" t="s">
        <v>34</v>
      </c>
      <c r="B13" s="29" t="s">
        <v>115</v>
      </c>
      <c r="C13" s="21"/>
      <c r="D13" s="109"/>
      <c r="E13" s="11"/>
      <c r="F13" s="102"/>
      <c r="G13" s="103"/>
      <c r="H13" s="103"/>
      <c r="I13" s="103"/>
      <c r="J13" s="103"/>
      <c r="K13" s="103"/>
      <c r="L13" s="103"/>
      <c r="M13" s="104"/>
    </row>
    <row r="14" spans="1:14" x14ac:dyDescent="0.45">
      <c r="A14" s="30" t="s">
        <v>38</v>
      </c>
      <c r="B14" s="29" t="s">
        <v>116</v>
      </c>
      <c r="C14" s="21"/>
      <c r="D14" s="109"/>
      <c r="E14" s="11"/>
      <c r="F14" s="102"/>
      <c r="G14" s="103"/>
      <c r="H14" s="103"/>
      <c r="I14" s="103"/>
      <c r="J14" s="103"/>
      <c r="K14" s="103"/>
      <c r="L14" s="103"/>
      <c r="M14" s="104"/>
    </row>
    <row r="15" spans="1:14" ht="14.45" customHeight="1" x14ac:dyDescent="0.45">
      <c r="A15" s="113" t="s">
        <v>59</v>
      </c>
      <c r="B15" s="113"/>
      <c r="C15" s="113"/>
      <c r="D15" s="113"/>
      <c r="F15" s="102"/>
      <c r="G15" s="103"/>
      <c r="H15" s="103"/>
      <c r="I15" s="103"/>
      <c r="J15" s="103"/>
      <c r="K15" s="103"/>
      <c r="L15" s="103"/>
      <c r="M15" s="104"/>
    </row>
    <row r="16" spans="1:14" ht="14.45" customHeight="1" x14ac:dyDescent="0.45">
      <c r="A16" s="114" t="s">
        <v>56</v>
      </c>
      <c r="B16" s="114"/>
      <c r="C16" s="114"/>
      <c r="D16" s="114"/>
      <c r="F16" s="102"/>
      <c r="G16" s="103"/>
      <c r="H16" s="103"/>
      <c r="I16" s="103"/>
      <c r="J16" s="103"/>
      <c r="K16" s="103"/>
      <c r="L16" s="103"/>
      <c r="M16" s="104"/>
    </row>
    <row r="17" spans="1:13" ht="14.45" customHeight="1" x14ac:dyDescent="0.45">
      <c r="A17" s="30" t="s">
        <v>3</v>
      </c>
      <c r="B17" s="29" t="s">
        <v>117</v>
      </c>
      <c r="C17" s="21"/>
      <c r="D17" s="108"/>
      <c r="E17" s="3"/>
      <c r="F17" s="105"/>
      <c r="G17" s="106"/>
      <c r="H17" s="106"/>
      <c r="I17" s="106"/>
      <c r="J17" s="106"/>
      <c r="K17" s="106"/>
      <c r="L17" s="106"/>
      <c r="M17" s="107"/>
    </row>
    <row r="18" spans="1:13" x14ac:dyDescent="0.45">
      <c r="A18" s="30" t="s">
        <v>4</v>
      </c>
      <c r="B18" s="33" t="s">
        <v>118</v>
      </c>
      <c r="C18" s="21"/>
      <c r="D18" s="108"/>
      <c r="E18" s="3"/>
      <c r="F18" s="16"/>
      <c r="G18" s="16"/>
      <c r="H18" s="16"/>
      <c r="I18" s="16"/>
      <c r="J18" s="16"/>
      <c r="K18" s="16"/>
      <c r="L18" s="16"/>
      <c r="M18" s="16"/>
    </row>
    <row r="19" spans="1:13" x14ac:dyDescent="0.45">
      <c r="A19" s="30" t="s">
        <v>8</v>
      </c>
      <c r="B19" s="32" t="s">
        <v>119</v>
      </c>
      <c r="C19" s="21"/>
      <c r="D19" s="108"/>
      <c r="E19" s="3"/>
      <c r="F19" s="16"/>
      <c r="G19" s="16"/>
      <c r="H19" s="16"/>
      <c r="I19" s="16"/>
      <c r="J19" s="16"/>
      <c r="K19" s="16"/>
      <c r="L19" s="16"/>
      <c r="M19" s="16"/>
    </row>
    <row r="20" spans="1:13" x14ac:dyDescent="0.45">
      <c r="A20" s="30" t="s">
        <v>11</v>
      </c>
      <c r="B20" s="32" t="s">
        <v>120</v>
      </c>
      <c r="C20" s="21"/>
      <c r="D20" s="108"/>
      <c r="E20" s="3"/>
      <c r="F20" s="16"/>
      <c r="G20" s="16"/>
      <c r="H20" s="16"/>
      <c r="I20" s="16"/>
      <c r="J20" s="16"/>
      <c r="K20" s="16"/>
      <c r="L20" s="16"/>
      <c r="M20" s="16"/>
    </row>
    <row r="21" spans="1:13" x14ac:dyDescent="0.45">
      <c r="A21" s="30" t="s">
        <v>10</v>
      </c>
      <c r="B21" s="32" t="s">
        <v>121</v>
      </c>
      <c r="C21" s="21"/>
      <c r="D21" s="108"/>
      <c r="E21" s="3"/>
      <c r="F21" s="16"/>
      <c r="G21" s="16"/>
      <c r="H21" s="16"/>
      <c r="I21" s="16"/>
      <c r="J21" s="16"/>
      <c r="K21" s="16"/>
      <c r="L21" s="16"/>
      <c r="M21" s="16"/>
    </row>
    <row r="22" spans="1:13" x14ac:dyDescent="0.45">
      <c r="A22" s="30" t="s">
        <v>9</v>
      </c>
      <c r="B22" s="32" t="s">
        <v>122</v>
      </c>
      <c r="C22" s="21"/>
      <c r="D22" s="108"/>
      <c r="E22" s="3"/>
      <c r="F22" s="16"/>
      <c r="G22" s="16"/>
      <c r="H22" s="16"/>
      <c r="I22" s="16"/>
      <c r="J22" s="16"/>
      <c r="K22" s="16"/>
      <c r="L22" s="16"/>
      <c r="M22" s="16"/>
    </row>
    <row r="23" spans="1:13" x14ac:dyDescent="0.45">
      <c r="A23" s="114" t="s">
        <v>57</v>
      </c>
      <c r="B23" s="114"/>
      <c r="C23" s="115"/>
      <c r="D23" s="115"/>
      <c r="E23" s="3"/>
      <c r="F23" s="16"/>
      <c r="G23" s="16"/>
      <c r="H23" s="16"/>
      <c r="I23" s="16"/>
      <c r="J23" s="16"/>
      <c r="K23" s="16"/>
      <c r="L23" s="16"/>
      <c r="M23" s="16"/>
    </row>
    <row r="24" spans="1:13" x14ac:dyDescent="0.45">
      <c r="A24" s="30" t="s">
        <v>25</v>
      </c>
      <c r="B24" s="33" t="s">
        <v>123</v>
      </c>
      <c r="C24" s="21"/>
      <c r="D24" s="108"/>
      <c r="E24" s="3"/>
      <c r="F24" s="16"/>
      <c r="G24" s="16"/>
      <c r="H24" s="16"/>
      <c r="I24" s="16"/>
      <c r="J24" s="16"/>
      <c r="K24" s="16"/>
      <c r="L24" s="16"/>
      <c r="M24" s="16"/>
    </row>
    <row r="25" spans="1:13" x14ac:dyDescent="0.45">
      <c r="A25" s="30" t="s">
        <v>26</v>
      </c>
      <c r="B25" s="33" t="s">
        <v>124</v>
      </c>
      <c r="C25" s="21"/>
      <c r="D25" s="108"/>
      <c r="E25" s="3"/>
      <c r="F25" s="3"/>
      <c r="G25" s="3"/>
      <c r="H25" s="3"/>
      <c r="I25" s="3"/>
      <c r="J25" s="7"/>
    </row>
    <row r="26" spans="1:13" x14ac:dyDescent="0.45">
      <c r="A26" s="30" t="s">
        <v>22</v>
      </c>
      <c r="B26" s="33" t="s">
        <v>125</v>
      </c>
      <c r="C26" s="18"/>
      <c r="D26" s="108"/>
      <c r="E26" s="3"/>
      <c r="F26" s="3"/>
      <c r="G26" s="3"/>
      <c r="H26" s="3"/>
      <c r="I26" s="3"/>
      <c r="J26" s="7"/>
    </row>
    <row r="27" spans="1:13" x14ac:dyDescent="0.45">
      <c r="A27" s="30" t="s">
        <v>23</v>
      </c>
      <c r="B27" s="33" t="s">
        <v>126</v>
      </c>
      <c r="C27" s="21"/>
      <c r="D27" s="108"/>
      <c r="E27" s="3"/>
      <c r="F27" s="3"/>
      <c r="G27" s="3"/>
      <c r="H27" s="3"/>
      <c r="I27" s="3"/>
      <c r="J27" s="7"/>
    </row>
    <row r="28" spans="1:13" x14ac:dyDescent="0.45">
      <c r="A28" s="114" t="s">
        <v>58</v>
      </c>
      <c r="B28" s="114"/>
      <c r="C28" s="114"/>
      <c r="D28" s="114"/>
      <c r="E28" s="3"/>
      <c r="F28" s="3"/>
      <c r="G28" s="3"/>
      <c r="H28" s="3"/>
      <c r="I28" s="3"/>
      <c r="J28" s="7"/>
    </row>
    <row r="29" spans="1:13" x14ac:dyDescent="0.45">
      <c r="A29" s="30" t="s">
        <v>40</v>
      </c>
      <c r="B29" s="32" t="s">
        <v>127</v>
      </c>
      <c r="C29" s="21"/>
      <c r="D29" s="108"/>
      <c r="E29" s="3"/>
      <c r="F29" s="3"/>
      <c r="G29" s="3"/>
      <c r="H29" s="3"/>
      <c r="I29" s="3"/>
      <c r="J29" s="7"/>
    </row>
    <row r="30" spans="1:13" x14ac:dyDescent="0.45">
      <c r="A30" s="30" t="s">
        <v>41</v>
      </c>
      <c r="B30" s="32" t="s">
        <v>128</v>
      </c>
      <c r="C30" s="21"/>
      <c r="D30" s="108"/>
      <c r="E30" s="3"/>
      <c r="F30" s="3"/>
      <c r="G30" s="3"/>
      <c r="H30" s="3"/>
      <c r="I30" s="3"/>
      <c r="J30" s="7"/>
    </row>
    <row r="31" spans="1:13" x14ac:dyDescent="0.45">
      <c r="A31" s="30" t="s">
        <v>42</v>
      </c>
      <c r="B31" s="32" t="s">
        <v>129</v>
      </c>
      <c r="C31" s="21"/>
      <c r="D31" s="108"/>
      <c r="E31" s="3"/>
      <c r="F31" s="3"/>
      <c r="G31" s="3"/>
      <c r="H31" s="3"/>
      <c r="I31" s="3"/>
      <c r="J31" s="7"/>
    </row>
    <row r="32" spans="1:13" x14ac:dyDescent="0.45">
      <c r="A32" s="30" t="s">
        <v>43</v>
      </c>
      <c r="B32" s="32" t="s">
        <v>130</v>
      </c>
      <c r="C32" s="21"/>
      <c r="D32" s="108"/>
      <c r="E32" s="3"/>
      <c r="F32" s="3"/>
      <c r="G32" s="3"/>
      <c r="H32" s="3"/>
      <c r="I32" s="3"/>
      <c r="J32" s="7"/>
    </row>
    <row r="33" spans="1:10" x14ac:dyDescent="0.45">
      <c r="A33" s="30" t="s">
        <v>44</v>
      </c>
      <c r="B33" s="32" t="s">
        <v>131</v>
      </c>
      <c r="C33" s="21"/>
      <c r="D33" s="108"/>
      <c r="E33" s="3"/>
      <c r="F33" s="3"/>
      <c r="G33" s="3"/>
      <c r="H33" s="3"/>
      <c r="I33" s="3"/>
      <c r="J33" s="7"/>
    </row>
    <row r="34" spans="1:10" ht="14.45" customHeight="1" x14ac:dyDescent="0.45">
      <c r="A34" s="112" t="s">
        <v>60</v>
      </c>
      <c r="B34" s="112"/>
      <c r="C34" s="112"/>
      <c r="D34" s="112"/>
    </row>
    <row r="35" spans="1:10" x14ac:dyDescent="0.45">
      <c r="A35" s="116" t="s">
        <v>56</v>
      </c>
      <c r="B35" s="116"/>
      <c r="C35" s="116"/>
      <c r="D35" s="116"/>
    </row>
    <row r="36" spans="1:10" x14ac:dyDescent="0.45">
      <c r="A36" s="30" t="s">
        <v>24</v>
      </c>
      <c r="B36" s="32" t="s">
        <v>132</v>
      </c>
      <c r="C36" s="21"/>
      <c r="D36" s="22"/>
      <c r="E36" s="8"/>
      <c r="F36" s="8"/>
      <c r="G36" s="8"/>
      <c r="H36" s="8"/>
      <c r="I36" s="8"/>
    </row>
    <row r="37" spans="1:10" x14ac:dyDescent="0.45">
      <c r="A37" s="116" t="s">
        <v>57</v>
      </c>
      <c r="B37" s="116"/>
      <c r="C37" s="116"/>
      <c r="D37" s="116"/>
      <c r="E37" s="8"/>
      <c r="F37" s="8"/>
      <c r="G37" s="8"/>
      <c r="H37" s="8"/>
      <c r="I37" s="8"/>
    </row>
    <row r="38" spans="1:10" x14ac:dyDescent="0.45">
      <c r="A38" s="34" t="s">
        <v>30</v>
      </c>
      <c r="B38" s="32" t="s">
        <v>133</v>
      </c>
      <c r="C38" s="21"/>
      <c r="D38" s="122"/>
      <c r="E38" s="8"/>
      <c r="F38" s="8"/>
      <c r="G38" s="8"/>
      <c r="H38" s="8"/>
      <c r="I38" s="8"/>
    </row>
    <row r="39" spans="1:10" x14ac:dyDescent="0.45">
      <c r="A39" s="34" t="s">
        <v>31</v>
      </c>
      <c r="B39" s="32" t="s">
        <v>134</v>
      </c>
      <c r="C39" s="21"/>
      <c r="D39" s="122"/>
      <c r="E39" s="8"/>
      <c r="F39" s="8"/>
      <c r="G39" s="8"/>
      <c r="H39" s="8"/>
      <c r="I39" s="8"/>
    </row>
    <row r="40" spans="1:10" x14ac:dyDescent="0.45">
      <c r="A40" s="116" t="s">
        <v>58</v>
      </c>
      <c r="B40" s="116"/>
      <c r="C40" s="116"/>
      <c r="D40" s="116"/>
      <c r="E40" s="8"/>
      <c r="F40" s="8"/>
      <c r="G40" s="8"/>
      <c r="H40" s="8"/>
      <c r="I40" s="8"/>
    </row>
    <row r="41" spans="1:10" x14ac:dyDescent="0.45">
      <c r="A41" s="34" t="s">
        <v>39</v>
      </c>
      <c r="B41" s="31" t="s">
        <v>135</v>
      </c>
      <c r="C41" s="21"/>
      <c r="D41" s="21"/>
      <c r="E41" s="8"/>
      <c r="F41" s="8"/>
      <c r="G41" s="8"/>
      <c r="H41" s="8"/>
      <c r="I41" s="8"/>
    </row>
    <row r="42" spans="1:10" ht="14.45" customHeight="1" x14ac:dyDescent="0.45">
      <c r="A42" s="110" t="s">
        <v>61</v>
      </c>
      <c r="B42" s="110"/>
      <c r="C42" s="110"/>
      <c r="D42" s="110"/>
    </row>
    <row r="43" spans="1:10" x14ac:dyDescent="0.45">
      <c r="A43" s="111" t="s">
        <v>56</v>
      </c>
      <c r="B43" s="111"/>
      <c r="C43" s="111"/>
      <c r="D43" s="111"/>
    </row>
    <row r="44" spans="1:10" x14ac:dyDescent="0.45">
      <c r="A44" s="30" t="s">
        <v>13</v>
      </c>
      <c r="B44" s="32" t="s">
        <v>136</v>
      </c>
      <c r="C44" s="21"/>
      <c r="D44" s="22"/>
      <c r="E44" s="4"/>
      <c r="F44" s="4"/>
      <c r="G44" s="4"/>
      <c r="H44" s="4"/>
      <c r="I44" s="4"/>
    </row>
    <row r="45" spans="1:10" x14ac:dyDescent="0.45">
      <c r="A45" s="111" t="s">
        <v>57</v>
      </c>
      <c r="B45" s="111"/>
      <c r="C45" s="111"/>
      <c r="D45" s="111"/>
      <c r="E45" s="4"/>
      <c r="F45" s="4"/>
      <c r="G45" s="4"/>
      <c r="H45" s="4"/>
      <c r="I45" s="4"/>
    </row>
    <row r="46" spans="1:10" x14ac:dyDescent="0.45">
      <c r="A46" s="30" t="s">
        <v>17</v>
      </c>
      <c r="B46" s="32" t="s">
        <v>137</v>
      </c>
      <c r="C46" s="21"/>
      <c r="D46" s="128"/>
      <c r="E46" s="4"/>
      <c r="F46" s="4"/>
      <c r="G46" s="4"/>
      <c r="H46" s="4"/>
      <c r="I46" s="4"/>
    </row>
    <row r="47" spans="1:10" x14ac:dyDescent="0.45">
      <c r="A47" s="30" t="s">
        <v>18</v>
      </c>
      <c r="B47" s="32" t="s">
        <v>138</v>
      </c>
      <c r="C47" s="21"/>
      <c r="D47" s="128"/>
      <c r="E47" s="4"/>
      <c r="F47" s="4"/>
      <c r="G47" s="4"/>
      <c r="H47" s="4"/>
      <c r="I47" s="4"/>
    </row>
    <row r="48" spans="1:10" x14ac:dyDescent="0.45">
      <c r="A48" s="30" t="s">
        <v>19</v>
      </c>
      <c r="B48" s="32" t="s">
        <v>139</v>
      </c>
      <c r="C48" s="21"/>
      <c r="D48" s="128"/>
      <c r="E48" s="4"/>
      <c r="F48" s="4"/>
      <c r="G48" s="4"/>
      <c r="H48" s="4"/>
      <c r="I48" s="4"/>
    </row>
    <row r="49" spans="1:9" x14ac:dyDescent="0.45">
      <c r="A49" s="30" t="s">
        <v>20</v>
      </c>
      <c r="B49" s="32" t="s">
        <v>140</v>
      </c>
      <c r="C49" s="21"/>
      <c r="D49" s="128"/>
      <c r="E49" s="4"/>
      <c r="F49" s="4"/>
      <c r="G49" s="4"/>
      <c r="H49" s="4"/>
      <c r="I49" s="4"/>
    </row>
    <row r="50" spans="1:9" x14ac:dyDescent="0.45">
      <c r="A50" s="30" t="s">
        <v>21</v>
      </c>
      <c r="B50" s="32" t="s">
        <v>141</v>
      </c>
      <c r="C50" s="21"/>
      <c r="D50" s="128"/>
      <c r="E50" s="4"/>
      <c r="F50" s="4"/>
      <c r="G50" s="4"/>
      <c r="H50" s="4"/>
      <c r="I50" s="4"/>
    </row>
    <row r="51" spans="1:9" x14ac:dyDescent="0.45">
      <c r="A51" s="111" t="s">
        <v>58</v>
      </c>
      <c r="B51" s="111"/>
      <c r="C51" s="111"/>
      <c r="D51" s="111"/>
      <c r="E51" s="4"/>
      <c r="F51" s="4"/>
      <c r="G51" s="4"/>
      <c r="H51" s="4"/>
      <c r="I51" s="4"/>
    </row>
    <row r="52" spans="1:9" x14ac:dyDescent="0.45">
      <c r="A52" s="30" t="s">
        <v>62</v>
      </c>
      <c r="B52" s="31" t="s">
        <v>142</v>
      </c>
      <c r="C52" s="21"/>
      <c r="D52" s="24"/>
      <c r="E52" s="4"/>
      <c r="F52" s="4"/>
      <c r="G52" s="4"/>
      <c r="H52" s="4"/>
      <c r="I52" s="4"/>
    </row>
    <row r="53" spans="1:9" ht="14.45" customHeight="1" x14ac:dyDescent="0.45">
      <c r="A53" s="124" t="s">
        <v>63</v>
      </c>
      <c r="B53" s="124"/>
      <c r="C53" s="124"/>
      <c r="D53" s="124"/>
    </row>
    <row r="54" spans="1:9" x14ac:dyDescent="0.45">
      <c r="A54" s="125" t="s">
        <v>56</v>
      </c>
      <c r="B54" s="125"/>
      <c r="C54" s="125"/>
      <c r="D54" s="125"/>
    </row>
    <row r="55" spans="1:9" ht="14.45" customHeight="1" x14ac:dyDescent="0.45">
      <c r="A55" s="30" t="s">
        <v>6</v>
      </c>
      <c r="B55" s="32" t="s">
        <v>143</v>
      </c>
      <c r="C55" s="21"/>
      <c r="D55" s="23"/>
      <c r="E55" s="8"/>
      <c r="F55" s="8"/>
      <c r="G55" s="8"/>
      <c r="H55" s="8"/>
      <c r="I55" s="8"/>
    </row>
    <row r="56" spans="1:9" x14ac:dyDescent="0.45">
      <c r="A56" s="125" t="s">
        <v>57</v>
      </c>
      <c r="B56" s="125"/>
      <c r="C56" s="125"/>
      <c r="D56" s="125"/>
      <c r="E56" s="8"/>
      <c r="F56" s="8"/>
      <c r="G56" s="8"/>
      <c r="H56" s="8"/>
      <c r="I56" s="8"/>
    </row>
    <row r="57" spans="1:9" x14ac:dyDescent="0.45">
      <c r="A57" s="30" t="s">
        <v>14</v>
      </c>
      <c r="B57" s="32" t="s">
        <v>144</v>
      </c>
      <c r="C57" s="21"/>
      <c r="D57" s="122"/>
      <c r="E57" s="8"/>
      <c r="F57" s="8"/>
      <c r="G57" s="8"/>
      <c r="H57" s="8"/>
      <c r="I57" s="8"/>
    </row>
    <row r="58" spans="1:9" x14ac:dyDescent="0.45">
      <c r="A58" s="30" t="s">
        <v>15</v>
      </c>
      <c r="B58" s="32" t="s">
        <v>145</v>
      </c>
      <c r="C58" s="21"/>
      <c r="D58" s="122"/>
      <c r="E58" s="8"/>
      <c r="F58" s="8"/>
      <c r="G58" s="8"/>
      <c r="H58" s="8"/>
      <c r="I58" s="8"/>
    </row>
    <row r="59" spans="1:9" x14ac:dyDescent="0.45">
      <c r="A59" s="125" t="s">
        <v>58</v>
      </c>
      <c r="B59" s="125"/>
      <c r="C59" s="126"/>
      <c r="D59" s="126"/>
      <c r="E59" s="8"/>
      <c r="F59" s="8"/>
      <c r="G59" s="8"/>
      <c r="H59" s="8"/>
      <c r="I59" s="8"/>
    </row>
    <row r="60" spans="1:9" x14ac:dyDescent="0.45">
      <c r="A60" s="30" t="s">
        <v>45</v>
      </c>
      <c r="B60" s="32" t="s">
        <v>146</v>
      </c>
      <c r="C60" s="21"/>
      <c r="D60" s="23"/>
      <c r="E60" s="8"/>
      <c r="F60" s="8"/>
      <c r="G60" s="8"/>
      <c r="H60" s="8"/>
      <c r="I60" s="8"/>
    </row>
    <row r="61" spans="1:9" ht="14.45" customHeight="1" x14ac:dyDescent="0.45">
      <c r="A61" s="127" t="s">
        <v>64</v>
      </c>
      <c r="B61" s="127"/>
      <c r="C61" s="127"/>
      <c r="D61" s="127"/>
    </row>
    <row r="62" spans="1:9" x14ac:dyDescent="0.45">
      <c r="A62" s="123" t="s">
        <v>56</v>
      </c>
      <c r="B62" s="123"/>
      <c r="C62" s="123"/>
      <c r="D62" s="123"/>
    </row>
    <row r="63" spans="1:9" ht="14.45" customHeight="1" x14ac:dyDescent="0.45">
      <c r="A63" s="30" t="s">
        <v>27</v>
      </c>
      <c r="B63" s="29" t="s">
        <v>147</v>
      </c>
      <c r="C63" s="21"/>
      <c r="D63" s="108"/>
      <c r="E63" s="3"/>
      <c r="F63" s="3"/>
      <c r="G63" s="3"/>
      <c r="H63" s="3"/>
      <c r="I63" s="3"/>
    </row>
    <row r="64" spans="1:9" ht="14.45" customHeight="1" x14ac:dyDescent="0.45">
      <c r="A64" s="30" t="s">
        <v>28</v>
      </c>
      <c r="B64" s="35" t="s">
        <v>148</v>
      </c>
      <c r="C64" s="21"/>
      <c r="D64" s="108"/>
      <c r="E64" s="3"/>
      <c r="F64" s="3"/>
      <c r="G64" s="3"/>
      <c r="H64" s="3"/>
      <c r="I64" s="3"/>
    </row>
    <row r="65" spans="1:9" x14ac:dyDescent="0.45">
      <c r="A65" s="123" t="s">
        <v>57</v>
      </c>
      <c r="B65" s="123"/>
      <c r="C65" s="123"/>
      <c r="D65" s="123"/>
      <c r="E65" s="3"/>
      <c r="F65" s="3"/>
      <c r="G65" s="3"/>
      <c r="H65" s="3"/>
      <c r="I65" s="3"/>
    </row>
    <row r="66" spans="1:9" x14ac:dyDescent="0.45">
      <c r="A66" s="30" t="s">
        <v>35</v>
      </c>
      <c r="B66" s="32" t="s">
        <v>149</v>
      </c>
      <c r="C66" s="21"/>
      <c r="D66" s="108"/>
      <c r="E66" s="3"/>
      <c r="F66" s="3"/>
      <c r="G66" s="3"/>
      <c r="H66" s="3"/>
      <c r="I66" s="3"/>
    </row>
    <row r="67" spans="1:9" x14ac:dyDescent="0.45">
      <c r="A67" s="30" t="s">
        <v>36</v>
      </c>
      <c r="B67" s="32" t="s">
        <v>150</v>
      </c>
      <c r="C67" s="21"/>
      <c r="D67" s="108"/>
      <c r="E67" s="3"/>
      <c r="F67" s="3"/>
      <c r="G67" s="3"/>
      <c r="H67" s="3"/>
      <c r="I67" s="3"/>
    </row>
    <row r="68" spans="1:9" x14ac:dyDescent="0.45">
      <c r="A68" s="30" t="s">
        <v>37</v>
      </c>
      <c r="B68" s="32" t="s">
        <v>151</v>
      </c>
      <c r="C68" s="21"/>
      <c r="D68" s="108"/>
      <c r="E68" s="3"/>
      <c r="F68" s="3"/>
      <c r="G68" s="3"/>
      <c r="H68" s="3"/>
      <c r="I68" s="3"/>
    </row>
    <row r="69" spans="1:9" x14ac:dyDescent="0.45">
      <c r="A69" s="123" t="s">
        <v>58</v>
      </c>
      <c r="B69" s="123"/>
      <c r="C69" s="123"/>
      <c r="D69" s="123"/>
      <c r="E69" s="3"/>
      <c r="F69" s="3"/>
      <c r="G69" s="3"/>
      <c r="H69" s="3"/>
      <c r="I69" s="3"/>
    </row>
    <row r="70" spans="1:9" x14ac:dyDescent="0.45">
      <c r="A70" s="30" t="s">
        <v>46</v>
      </c>
      <c r="B70" s="32" t="s">
        <v>152</v>
      </c>
      <c r="C70" s="21"/>
      <c r="D70" s="108"/>
      <c r="E70" s="3"/>
      <c r="F70" s="3"/>
      <c r="G70" s="3"/>
      <c r="H70" s="3"/>
      <c r="I70" s="3"/>
    </row>
    <row r="71" spans="1:9" x14ac:dyDescent="0.45">
      <c r="A71" s="30" t="s">
        <v>47</v>
      </c>
      <c r="B71" s="32" t="s">
        <v>153</v>
      </c>
      <c r="C71" s="21"/>
      <c r="D71" s="108"/>
      <c r="E71" s="3"/>
      <c r="F71" s="3"/>
      <c r="G71" s="3"/>
      <c r="H71" s="3"/>
      <c r="I71" s="3"/>
    </row>
    <row r="72" spans="1:9" x14ac:dyDescent="0.45">
      <c r="D72" s="3"/>
      <c r="E72" s="3"/>
      <c r="F72" s="3"/>
      <c r="G72" s="3"/>
      <c r="H72" s="3"/>
      <c r="I72" s="3"/>
    </row>
    <row r="73" spans="1:9" x14ac:dyDescent="0.45">
      <c r="D73" s="3"/>
      <c r="E73" s="3"/>
      <c r="F73" s="3"/>
      <c r="G73" s="3"/>
      <c r="H73" s="3"/>
      <c r="I73" s="3"/>
    </row>
    <row r="74" spans="1:9" x14ac:dyDescent="0.45">
      <c r="D74" s="3"/>
      <c r="E74" s="3"/>
      <c r="F74" s="3"/>
      <c r="G74" s="3"/>
      <c r="H74" s="3"/>
      <c r="I74" s="3"/>
    </row>
    <row r="75" spans="1:9" x14ac:dyDescent="0.45">
      <c r="D75" s="3"/>
      <c r="E75" s="3"/>
      <c r="F75" s="3"/>
      <c r="G75" s="3"/>
      <c r="H75" s="3"/>
      <c r="I75" s="3"/>
    </row>
    <row r="76" spans="1:9" x14ac:dyDescent="0.45">
      <c r="D76" s="3"/>
      <c r="E76" s="3"/>
      <c r="F76" s="3"/>
      <c r="G76" s="3"/>
      <c r="H76" s="3"/>
      <c r="I76" s="3"/>
    </row>
    <row r="77" spans="1:9" x14ac:dyDescent="0.45">
      <c r="D77" s="3"/>
      <c r="E77" s="3"/>
      <c r="F77" s="3"/>
      <c r="G77" s="3"/>
      <c r="H77" s="3"/>
      <c r="I77" s="3"/>
    </row>
    <row r="78" spans="1:9" x14ac:dyDescent="0.45">
      <c r="D78" s="3"/>
      <c r="E78" s="3"/>
      <c r="F78" s="3"/>
      <c r="G78" s="3"/>
      <c r="H78" s="3"/>
      <c r="I78" s="3"/>
    </row>
    <row r="79" spans="1:9" x14ac:dyDescent="0.45">
      <c r="D79" s="3"/>
      <c r="E79" s="3"/>
      <c r="F79" s="3"/>
      <c r="G79" s="3"/>
      <c r="H79" s="3"/>
      <c r="I79" s="3"/>
    </row>
  </sheetData>
  <sheetProtection algorithmName="SHA-512" hashValue="UWlLft4EHUXvJNowLLSQeOwJ898il+fEw5VOQUYgEmS6vRbm6sXvWfHf3zFLjxJdQjqPhpw3LY8IiIp+ICKeEw==" saltValue="qcD67KOi07WDP80GGJJdQA==" spinCount="100000" sheet="1" objects="1" scenarios="1"/>
  <mergeCells count="37">
    <mergeCell ref="D38:D39"/>
    <mergeCell ref="A69:D69"/>
    <mergeCell ref="A53:D53"/>
    <mergeCell ref="A54:D54"/>
    <mergeCell ref="A59:D59"/>
    <mergeCell ref="A61:D61"/>
    <mergeCell ref="D57:D58"/>
    <mergeCell ref="D63:D64"/>
    <mergeCell ref="D66:D68"/>
    <mergeCell ref="A40:D40"/>
    <mergeCell ref="A43:D43"/>
    <mergeCell ref="A56:D56"/>
    <mergeCell ref="A62:D62"/>
    <mergeCell ref="A65:D65"/>
    <mergeCell ref="D46:D50"/>
    <mergeCell ref="A37:D37"/>
    <mergeCell ref="A1:D1"/>
    <mergeCell ref="A3:D3"/>
    <mergeCell ref="A4:D4"/>
    <mergeCell ref="A9:D9"/>
    <mergeCell ref="A6:D6"/>
    <mergeCell ref="F3:M17"/>
    <mergeCell ref="D70:D71"/>
    <mergeCell ref="D7:D8"/>
    <mergeCell ref="D10:D14"/>
    <mergeCell ref="D17:D22"/>
    <mergeCell ref="D24:D27"/>
    <mergeCell ref="D29:D33"/>
    <mergeCell ref="A42:D42"/>
    <mergeCell ref="A45:D45"/>
    <mergeCell ref="A51:D51"/>
    <mergeCell ref="A34:D34"/>
    <mergeCell ref="A15:D15"/>
    <mergeCell ref="A16:D16"/>
    <mergeCell ref="A23:D23"/>
    <mergeCell ref="A28:D28"/>
    <mergeCell ref="A35:D35"/>
  </mergeCells>
  <dataValidations count="3">
    <dataValidation type="list" allowBlank="1" showInputMessage="1" showErrorMessage="1" sqref="C24 C70:C71 C63 C8 C13 C36 C38:C39 C5 C17:C22 C41 C57:C58 C44 C46:C50 C52 C55 C60 C66:C68 C26:C27" xr:uid="{97CC9E21-D719-4DA8-94D6-0863990B963C}">
      <formula1>"Not at all, Partially, Mostly, Completely"</formula1>
    </dataValidation>
    <dataValidation type="list" allowBlank="1" showInputMessage="1" showErrorMessage="1" sqref="C25 C7 C11:C12 C14 C31:C32 C64 C30 C10 C29" xr:uid="{E0C6E449-3429-4468-9901-DE2A25EB416D}">
      <formula1>"Not at all, Partially, Mostly, Completely, Not applicable"</formula1>
    </dataValidation>
    <dataValidation type="list" allowBlank="1" showInputMessage="1" showErrorMessage="1" sqref="C33" xr:uid="{230CCA5B-C8ED-484F-8CA9-9D580D1D93EA}">
      <formula1>"Not at all, Partially, Mostly, Completely,"</formula1>
    </dataValidation>
  </dataValidations>
  <pageMargins left="0.7" right="0.7" top="0.75" bottom="0.75" header="0.3" footer="0.3"/>
  <pageSetup paperSize="9" orientation="landscape"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F9264-3F70-4068-ACAF-C9B10E114FDB}">
  <sheetPr codeName="Blad1"/>
  <dimension ref="A1:M54"/>
  <sheetViews>
    <sheetView zoomScaleNormal="100" workbookViewId="0">
      <selection activeCell="F3" sqref="F3:M17"/>
    </sheetView>
  </sheetViews>
  <sheetFormatPr defaultRowHeight="14.25" x14ac:dyDescent="0.45"/>
  <cols>
    <col min="1" max="1" width="11.796875" customWidth="1"/>
    <col min="2" max="2" width="62.53125" customWidth="1"/>
    <col min="3" max="3" width="25.796875" customWidth="1"/>
    <col min="4" max="4" width="50.796875" customWidth="1"/>
  </cols>
  <sheetData>
    <row r="1" spans="1:13" ht="25.25" customHeight="1" x14ac:dyDescent="0.45">
      <c r="A1" s="117" t="s">
        <v>92</v>
      </c>
      <c r="B1" s="117"/>
      <c r="C1" s="117"/>
      <c r="D1" s="117"/>
    </row>
    <row r="2" spans="1:13" x14ac:dyDescent="0.45">
      <c r="A2" s="36" t="s">
        <v>0</v>
      </c>
      <c r="B2" s="28" t="s">
        <v>108</v>
      </c>
      <c r="C2" s="36" t="s">
        <v>53</v>
      </c>
      <c r="D2" s="36" t="s">
        <v>52</v>
      </c>
      <c r="E2" s="1"/>
    </row>
    <row r="3" spans="1:13" x14ac:dyDescent="0.45">
      <c r="A3" s="129" t="s">
        <v>49</v>
      </c>
      <c r="B3" s="129"/>
      <c r="C3" s="132"/>
      <c r="D3" s="132"/>
      <c r="E3" s="1"/>
      <c r="F3" s="99" t="s">
        <v>170</v>
      </c>
      <c r="G3" s="100"/>
      <c r="H3" s="100"/>
      <c r="I3" s="100"/>
      <c r="J3" s="100"/>
      <c r="K3" s="100"/>
      <c r="L3" s="100"/>
      <c r="M3" s="101"/>
    </row>
    <row r="4" spans="1:13" ht="14.45" customHeight="1" x14ac:dyDescent="0.45">
      <c r="A4" s="30" t="s">
        <v>3</v>
      </c>
      <c r="B4" s="29" t="s">
        <v>117</v>
      </c>
      <c r="C4" s="21"/>
      <c r="D4" s="131"/>
      <c r="E4" s="5"/>
      <c r="F4" s="102"/>
      <c r="G4" s="103"/>
      <c r="H4" s="103"/>
      <c r="I4" s="103"/>
      <c r="J4" s="103"/>
      <c r="K4" s="103"/>
      <c r="L4" s="103"/>
      <c r="M4" s="104"/>
    </row>
    <row r="5" spans="1:13" x14ac:dyDescent="0.45">
      <c r="A5" s="30" t="s">
        <v>4</v>
      </c>
      <c r="B5" s="33" t="s">
        <v>118</v>
      </c>
      <c r="C5" s="21"/>
      <c r="D5" s="131"/>
      <c r="E5" s="5"/>
      <c r="F5" s="102"/>
      <c r="G5" s="103"/>
      <c r="H5" s="103"/>
      <c r="I5" s="103"/>
      <c r="J5" s="103"/>
      <c r="K5" s="103"/>
      <c r="L5" s="103"/>
      <c r="M5" s="104"/>
    </row>
    <row r="6" spans="1:13" x14ac:dyDescent="0.45">
      <c r="A6" s="30" t="s">
        <v>6</v>
      </c>
      <c r="B6" s="32" t="s">
        <v>143</v>
      </c>
      <c r="C6" s="21"/>
      <c r="D6" s="131"/>
      <c r="E6" s="3"/>
      <c r="F6" s="102"/>
      <c r="G6" s="103"/>
      <c r="H6" s="103"/>
      <c r="I6" s="103"/>
      <c r="J6" s="103"/>
      <c r="K6" s="103"/>
      <c r="L6" s="103"/>
      <c r="M6" s="104"/>
    </row>
    <row r="7" spans="1:13" x14ac:dyDescent="0.45">
      <c r="A7" s="30" t="s">
        <v>7</v>
      </c>
      <c r="B7" s="29" t="s">
        <v>109</v>
      </c>
      <c r="C7" s="21"/>
      <c r="D7" s="131"/>
      <c r="E7" s="3"/>
      <c r="F7" s="102"/>
      <c r="G7" s="103"/>
      <c r="H7" s="103"/>
      <c r="I7" s="103"/>
      <c r="J7" s="103"/>
      <c r="K7" s="103"/>
      <c r="L7" s="103"/>
      <c r="M7" s="104"/>
    </row>
    <row r="8" spans="1:13" x14ac:dyDescent="0.45">
      <c r="A8" s="30" t="s">
        <v>8</v>
      </c>
      <c r="B8" s="32" t="s">
        <v>119</v>
      </c>
      <c r="C8" s="21"/>
      <c r="D8" s="131"/>
      <c r="E8" s="3"/>
      <c r="F8" s="102"/>
      <c r="G8" s="103"/>
      <c r="H8" s="103"/>
      <c r="I8" s="103"/>
      <c r="J8" s="103"/>
      <c r="K8" s="103"/>
      <c r="L8" s="103"/>
      <c r="M8" s="104"/>
    </row>
    <row r="9" spans="1:13" x14ac:dyDescent="0.45">
      <c r="A9" s="30" t="s">
        <v>9</v>
      </c>
      <c r="B9" s="32" t="s">
        <v>122</v>
      </c>
      <c r="C9" s="21"/>
      <c r="D9" s="131"/>
      <c r="E9" s="3"/>
      <c r="F9" s="102"/>
      <c r="G9" s="103"/>
      <c r="H9" s="103"/>
      <c r="I9" s="103"/>
      <c r="J9" s="103"/>
      <c r="K9" s="103"/>
      <c r="L9" s="103"/>
      <c r="M9" s="104"/>
    </row>
    <row r="10" spans="1:13" x14ac:dyDescent="0.45">
      <c r="A10" s="30" t="s">
        <v>10</v>
      </c>
      <c r="B10" s="32" t="s">
        <v>121</v>
      </c>
      <c r="C10" s="21"/>
      <c r="D10" s="131"/>
      <c r="E10" s="3"/>
      <c r="F10" s="102"/>
      <c r="G10" s="103"/>
      <c r="H10" s="103"/>
      <c r="I10" s="103"/>
      <c r="J10" s="103"/>
      <c r="K10" s="103"/>
      <c r="L10" s="103"/>
      <c r="M10" s="104"/>
    </row>
    <row r="11" spans="1:13" x14ac:dyDescent="0.45">
      <c r="A11" s="30" t="s">
        <v>11</v>
      </c>
      <c r="B11" s="32" t="s">
        <v>120</v>
      </c>
      <c r="C11" s="21"/>
      <c r="D11" s="131"/>
      <c r="E11" s="3"/>
      <c r="F11" s="102"/>
      <c r="G11" s="103"/>
      <c r="H11" s="103"/>
      <c r="I11" s="103"/>
      <c r="J11" s="103"/>
      <c r="K11" s="103"/>
      <c r="L11" s="103"/>
      <c r="M11" s="104"/>
    </row>
    <row r="12" spans="1:13" x14ac:dyDescent="0.45">
      <c r="A12" s="129" t="s">
        <v>54</v>
      </c>
      <c r="B12" s="129"/>
      <c r="C12" s="132"/>
      <c r="D12" s="132"/>
      <c r="E12" s="1"/>
      <c r="F12" s="102"/>
      <c r="G12" s="103"/>
      <c r="H12" s="103"/>
      <c r="I12" s="103"/>
      <c r="J12" s="103"/>
      <c r="K12" s="103"/>
      <c r="L12" s="103"/>
      <c r="M12" s="104"/>
    </row>
    <row r="13" spans="1:13" x14ac:dyDescent="0.45">
      <c r="A13" s="30" t="s">
        <v>12</v>
      </c>
      <c r="B13" s="31" t="s">
        <v>110</v>
      </c>
      <c r="C13" s="21"/>
      <c r="D13" s="131"/>
      <c r="E13" s="3"/>
      <c r="F13" s="102"/>
      <c r="G13" s="103"/>
      <c r="H13" s="103"/>
      <c r="I13" s="103"/>
      <c r="J13" s="103"/>
      <c r="K13" s="103"/>
      <c r="L13" s="103"/>
      <c r="M13" s="104"/>
    </row>
    <row r="14" spans="1:13" x14ac:dyDescent="0.45">
      <c r="A14" s="30" t="s">
        <v>13</v>
      </c>
      <c r="B14" s="32" t="s">
        <v>136</v>
      </c>
      <c r="C14" s="21"/>
      <c r="D14" s="131"/>
      <c r="E14" s="3"/>
      <c r="F14" s="102"/>
      <c r="G14" s="103"/>
      <c r="H14" s="103"/>
      <c r="I14" s="103"/>
      <c r="J14" s="103"/>
      <c r="K14" s="103"/>
      <c r="L14" s="103"/>
      <c r="M14" s="104"/>
    </row>
    <row r="15" spans="1:13" x14ac:dyDescent="0.45">
      <c r="A15" s="30" t="s">
        <v>14</v>
      </c>
      <c r="B15" s="32" t="s">
        <v>144</v>
      </c>
      <c r="C15" s="21"/>
      <c r="D15" s="131"/>
      <c r="E15" s="3"/>
      <c r="F15" s="102"/>
      <c r="G15" s="103"/>
      <c r="H15" s="103"/>
      <c r="I15" s="103"/>
      <c r="J15" s="103"/>
      <c r="K15" s="103"/>
      <c r="L15" s="103"/>
      <c r="M15" s="104"/>
    </row>
    <row r="16" spans="1:13" x14ac:dyDescent="0.45">
      <c r="A16" s="30" t="s">
        <v>15</v>
      </c>
      <c r="B16" s="32" t="s">
        <v>145</v>
      </c>
      <c r="C16" s="21"/>
      <c r="D16" s="131"/>
      <c r="E16" s="3"/>
      <c r="F16" s="102"/>
      <c r="G16" s="103"/>
      <c r="H16" s="103"/>
      <c r="I16" s="103"/>
      <c r="J16" s="103"/>
      <c r="K16" s="103"/>
      <c r="L16" s="103"/>
      <c r="M16" s="104"/>
    </row>
    <row r="17" spans="1:13" x14ac:dyDescent="0.45">
      <c r="A17" s="30" t="s">
        <v>16</v>
      </c>
      <c r="B17" s="31" t="s">
        <v>111</v>
      </c>
      <c r="C17" s="21"/>
      <c r="D17" s="131"/>
      <c r="E17" s="3"/>
      <c r="F17" s="105"/>
      <c r="G17" s="106"/>
      <c r="H17" s="106"/>
      <c r="I17" s="106"/>
      <c r="J17" s="106"/>
      <c r="K17" s="106"/>
      <c r="L17" s="106"/>
      <c r="M17" s="107"/>
    </row>
    <row r="18" spans="1:13" x14ac:dyDescent="0.45">
      <c r="A18" s="129" t="s">
        <v>50</v>
      </c>
      <c r="B18" s="129"/>
      <c r="C18" s="132"/>
      <c r="D18" s="132"/>
      <c r="E18" s="1"/>
      <c r="F18" s="1"/>
      <c r="G18" s="1"/>
      <c r="H18" s="1"/>
      <c r="I18" s="1"/>
      <c r="J18" s="1"/>
    </row>
    <row r="19" spans="1:13" ht="14.45" customHeight="1" x14ac:dyDescent="0.45">
      <c r="A19" s="30" t="s">
        <v>17</v>
      </c>
      <c r="B19" s="32" t="s">
        <v>137</v>
      </c>
      <c r="C19" s="21"/>
      <c r="D19" s="131"/>
      <c r="E19" s="3"/>
      <c r="F19" s="3"/>
      <c r="G19" s="3"/>
      <c r="H19" s="3"/>
      <c r="I19" s="3"/>
      <c r="J19" s="3"/>
    </row>
    <row r="20" spans="1:13" ht="14.45" customHeight="1" x14ac:dyDescent="0.45">
      <c r="A20" s="30" t="s">
        <v>18</v>
      </c>
      <c r="B20" s="32" t="s">
        <v>138</v>
      </c>
      <c r="C20" s="21"/>
      <c r="D20" s="131"/>
      <c r="E20" s="3"/>
      <c r="F20" s="3"/>
      <c r="G20" s="3"/>
      <c r="H20" s="3"/>
      <c r="I20" s="3"/>
      <c r="J20" s="3"/>
    </row>
    <row r="21" spans="1:13" x14ac:dyDescent="0.45">
      <c r="A21" s="30" t="s">
        <v>19</v>
      </c>
      <c r="B21" s="32" t="s">
        <v>139</v>
      </c>
      <c r="C21" s="21"/>
      <c r="D21" s="131"/>
      <c r="E21" s="3"/>
      <c r="F21" s="3"/>
      <c r="G21" s="3"/>
      <c r="H21" s="3"/>
      <c r="I21" s="3"/>
      <c r="J21" s="3"/>
    </row>
    <row r="22" spans="1:13" x14ac:dyDescent="0.45">
      <c r="A22" s="30" t="s">
        <v>20</v>
      </c>
      <c r="B22" s="32" t="s">
        <v>140</v>
      </c>
      <c r="C22" s="21"/>
      <c r="D22" s="131"/>
      <c r="E22" s="3"/>
      <c r="F22" s="3"/>
      <c r="G22" s="3"/>
      <c r="H22" s="3"/>
      <c r="I22" s="3"/>
      <c r="J22" s="3"/>
    </row>
    <row r="23" spans="1:13" x14ac:dyDescent="0.45">
      <c r="A23" s="30" t="s">
        <v>21</v>
      </c>
      <c r="B23" s="32" t="s">
        <v>141</v>
      </c>
      <c r="C23" s="21"/>
      <c r="D23" s="131"/>
      <c r="E23" s="3"/>
      <c r="F23" s="3"/>
      <c r="G23" s="3"/>
      <c r="H23" s="3"/>
      <c r="I23" s="3"/>
      <c r="J23" s="3"/>
    </row>
    <row r="24" spans="1:13" x14ac:dyDescent="0.45">
      <c r="A24" s="30" t="s">
        <v>22</v>
      </c>
      <c r="B24" s="33" t="s">
        <v>125</v>
      </c>
      <c r="C24" s="21"/>
      <c r="D24" s="131"/>
      <c r="E24" s="3"/>
      <c r="F24" s="3"/>
      <c r="G24" s="3"/>
      <c r="H24" s="3"/>
      <c r="I24" s="3"/>
      <c r="J24" s="3"/>
    </row>
    <row r="25" spans="1:13" x14ac:dyDescent="0.45">
      <c r="A25" s="30" t="s">
        <v>23</v>
      </c>
      <c r="B25" s="33" t="s">
        <v>126</v>
      </c>
      <c r="C25" s="21"/>
      <c r="D25" s="131"/>
      <c r="E25" s="3"/>
      <c r="F25" s="3"/>
      <c r="G25" s="3"/>
      <c r="H25" s="3"/>
      <c r="I25" s="3"/>
      <c r="J25" s="3"/>
    </row>
    <row r="26" spans="1:13" x14ac:dyDescent="0.45">
      <c r="A26" s="30" t="s">
        <v>24</v>
      </c>
      <c r="B26" s="32" t="s">
        <v>132</v>
      </c>
      <c r="C26" s="21"/>
      <c r="D26" s="131"/>
      <c r="E26" s="3"/>
      <c r="F26" s="3"/>
      <c r="G26" s="3"/>
      <c r="H26" s="3"/>
      <c r="I26" s="3"/>
      <c r="J26" s="3"/>
    </row>
    <row r="27" spans="1:13" x14ac:dyDescent="0.45">
      <c r="A27" s="30" t="s">
        <v>25</v>
      </c>
      <c r="B27" s="33" t="s">
        <v>123</v>
      </c>
      <c r="C27" s="21"/>
      <c r="D27" s="131"/>
      <c r="E27" s="3"/>
      <c r="F27" s="3"/>
      <c r="G27" s="3"/>
      <c r="H27" s="3"/>
      <c r="I27" s="3"/>
      <c r="J27" s="3"/>
    </row>
    <row r="28" spans="1:13" x14ac:dyDescent="0.45">
      <c r="A28" s="30" t="s">
        <v>26</v>
      </c>
      <c r="B28" s="33" t="s">
        <v>124</v>
      </c>
      <c r="C28" s="21"/>
      <c r="D28" s="131"/>
      <c r="E28" s="3"/>
      <c r="F28" s="3"/>
      <c r="G28" s="3"/>
      <c r="H28" s="3"/>
      <c r="I28" s="3"/>
      <c r="J28" s="3"/>
    </row>
    <row r="29" spans="1:13" x14ac:dyDescent="0.45">
      <c r="A29" s="30" t="s">
        <v>27</v>
      </c>
      <c r="B29" s="29" t="s">
        <v>147</v>
      </c>
      <c r="C29" s="21"/>
      <c r="D29" s="131"/>
      <c r="E29" s="3"/>
      <c r="F29" s="3"/>
      <c r="G29" s="3"/>
      <c r="H29" s="3"/>
      <c r="I29" s="3"/>
      <c r="J29" s="3"/>
    </row>
    <row r="30" spans="1:13" x14ac:dyDescent="0.45">
      <c r="A30" s="30" t="s">
        <v>28</v>
      </c>
      <c r="B30" s="35" t="s">
        <v>148</v>
      </c>
      <c r="C30" s="21"/>
      <c r="D30" s="131"/>
      <c r="E30" s="3"/>
      <c r="F30" s="3"/>
      <c r="G30" s="3"/>
      <c r="H30" s="3"/>
      <c r="I30" s="3"/>
      <c r="J30" s="3"/>
    </row>
    <row r="31" spans="1:13" x14ac:dyDescent="0.45">
      <c r="A31" s="129" t="s">
        <v>51</v>
      </c>
      <c r="B31" s="129"/>
      <c r="C31" s="130"/>
      <c r="D31" s="130"/>
      <c r="E31" s="1"/>
      <c r="F31" s="1"/>
      <c r="G31" s="1"/>
      <c r="H31" s="1"/>
      <c r="I31" s="1"/>
      <c r="J31" s="1"/>
    </row>
    <row r="32" spans="1:13" x14ac:dyDescent="0.45">
      <c r="A32" s="30" t="s">
        <v>29</v>
      </c>
      <c r="B32" s="31" t="s">
        <v>112</v>
      </c>
      <c r="C32" s="21"/>
      <c r="D32" s="131"/>
      <c r="E32" s="2"/>
      <c r="F32" s="2"/>
      <c r="G32" s="2"/>
      <c r="H32" s="2"/>
      <c r="I32" s="2"/>
      <c r="J32" s="2"/>
    </row>
    <row r="33" spans="1:10" x14ac:dyDescent="0.45">
      <c r="A33" s="30" t="s">
        <v>30</v>
      </c>
      <c r="B33" s="32" t="s">
        <v>133</v>
      </c>
      <c r="C33" s="21"/>
      <c r="D33" s="131"/>
      <c r="E33" s="2"/>
      <c r="F33" s="2"/>
      <c r="G33" s="2"/>
      <c r="H33" s="2"/>
      <c r="I33" s="2"/>
      <c r="J33" s="2"/>
    </row>
    <row r="34" spans="1:10" x14ac:dyDescent="0.45">
      <c r="A34" s="30" t="s">
        <v>31</v>
      </c>
      <c r="B34" s="32" t="s">
        <v>134</v>
      </c>
      <c r="C34" s="21"/>
      <c r="D34" s="131"/>
      <c r="E34" s="2"/>
      <c r="F34" s="2"/>
      <c r="G34" s="2"/>
      <c r="H34" s="2"/>
      <c r="I34" s="2"/>
      <c r="J34" s="2"/>
    </row>
    <row r="35" spans="1:10" x14ac:dyDescent="0.45">
      <c r="A35" s="30" t="s">
        <v>32</v>
      </c>
      <c r="B35" s="31" t="s">
        <v>113</v>
      </c>
      <c r="C35" s="21"/>
      <c r="D35" s="131"/>
      <c r="E35" s="2"/>
      <c r="F35" s="2"/>
      <c r="G35" s="2"/>
      <c r="H35" s="2"/>
      <c r="I35" s="2"/>
      <c r="J35" s="2"/>
    </row>
    <row r="36" spans="1:10" x14ac:dyDescent="0.45">
      <c r="A36" s="30" t="s">
        <v>33</v>
      </c>
      <c r="B36" s="31" t="s">
        <v>114</v>
      </c>
      <c r="C36" s="21"/>
      <c r="D36" s="131"/>
      <c r="E36" s="2"/>
      <c r="F36" s="2"/>
      <c r="G36" s="2"/>
      <c r="H36" s="2"/>
      <c r="I36" s="2"/>
      <c r="J36" s="2"/>
    </row>
    <row r="37" spans="1:10" x14ac:dyDescent="0.45">
      <c r="A37" s="30" t="s">
        <v>34</v>
      </c>
      <c r="B37" s="29" t="s">
        <v>115</v>
      </c>
      <c r="C37" s="21"/>
      <c r="D37" s="131"/>
      <c r="E37" s="2"/>
      <c r="F37" s="2"/>
      <c r="G37" s="2"/>
      <c r="H37" s="2"/>
      <c r="I37" s="2"/>
      <c r="J37" s="2"/>
    </row>
    <row r="38" spans="1:10" x14ac:dyDescent="0.45">
      <c r="A38" s="30" t="s">
        <v>35</v>
      </c>
      <c r="B38" s="32" t="s">
        <v>149</v>
      </c>
      <c r="C38" s="21"/>
      <c r="D38" s="131"/>
      <c r="E38" s="2"/>
      <c r="F38" s="2"/>
      <c r="G38" s="2"/>
      <c r="H38" s="2"/>
      <c r="I38" s="2"/>
      <c r="J38" s="2"/>
    </row>
    <row r="39" spans="1:10" x14ac:dyDescent="0.45">
      <c r="A39" s="30" t="s">
        <v>36</v>
      </c>
      <c r="B39" s="32" t="s">
        <v>150</v>
      </c>
      <c r="C39" s="21"/>
      <c r="D39" s="131"/>
      <c r="E39" s="2"/>
      <c r="F39" s="2"/>
      <c r="G39" s="2"/>
      <c r="H39" s="2"/>
      <c r="I39" s="2"/>
      <c r="J39" s="2"/>
    </row>
    <row r="40" spans="1:10" x14ac:dyDescent="0.45">
      <c r="A40" s="30" t="s">
        <v>37</v>
      </c>
      <c r="B40" s="32" t="s">
        <v>151</v>
      </c>
      <c r="C40" s="21"/>
      <c r="D40" s="131"/>
      <c r="E40" s="2"/>
      <c r="F40" s="2"/>
      <c r="G40" s="2"/>
      <c r="H40" s="2"/>
      <c r="I40" s="2"/>
      <c r="J40" s="2"/>
    </row>
    <row r="41" spans="1:10" x14ac:dyDescent="0.45">
      <c r="A41" s="30" t="s">
        <v>38</v>
      </c>
      <c r="B41" s="29" t="s">
        <v>116</v>
      </c>
      <c r="C41" s="21"/>
      <c r="D41" s="131"/>
      <c r="E41" s="2"/>
      <c r="F41" s="2"/>
      <c r="G41" s="2"/>
      <c r="H41" s="2"/>
      <c r="I41" s="2"/>
      <c r="J41" s="2"/>
    </row>
    <row r="42" spans="1:10" x14ac:dyDescent="0.45">
      <c r="A42" s="129" t="s">
        <v>48</v>
      </c>
      <c r="B42" s="129"/>
      <c r="C42" s="132"/>
      <c r="D42" s="132"/>
      <c r="E42" s="1"/>
      <c r="F42" s="1"/>
      <c r="G42" s="1"/>
      <c r="H42" s="1"/>
      <c r="I42" s="1"/>
      <c r="J42" s="1"/>
    </row>
    <row r="43" spans="1:10" x14ac:dyDescent="0.45">
      <c r="A43" s="30" t="s">
        <v>39</v>
      </c>
      <c r="B43" s="31" t="s">
        <v>135</v>
      </c>
      <c r="C43" s="21"/>
      <c r="D43" s="131"/>
      <c r="E43" s="2"/>
      <c r="F43" s="2"/>
      <c r="G43" s="2"/>
      <c r="H43" s="2"/>
      <c r="I43" s="2"/>
      <c r="J43" s="2"/>
    </row>
    <row r="44" spans="1:10" x14ac:dyDescent="0.45">
      <c r="A44" s="30" t="s">
        <v>40</v>
      </c>
      <c r="B44" s="32" t="s">
        <v>127</v>
      </c>
      <c r="C44" s="21"/>
      <c r="D44" s="131"/>
      <c r="E44" s="2"/>
      <c r="F44" s="2"/>
      <c r="G44" s="2"/>
      <c r="H44" s="2"/>
      <c r="I44" s="2"/>
      <c r="J44" s="2"/>
    </row>
    <row r="45" spans="1:10" x14ac:dyDescent="0.45">
      <c r="A45" s="30" t="s">
        <v>41</v>
      </c>
      <c r="B45" s="32" t="s">
        <v>128</v>
      </c>
      <c r="C45" s="21"/>
      <c r="D45" s="131"/>
      <c r="E45" s="2"/>
      <c r="F45" s="2"/>
      <c r="G45" s="2"/>
      <c r="H45" s="2"/>
      <c r="I45" s="2"/>
      <c r="J45" s="2"/>
    </row>
    <row r="46" spans="1:10" x14ac:dyDescent="0.45">
      <c r="A46" s="30" t="s">
        <v>42</v>
      </c>
      <c r="B46" s="32" t="s">
        <v>129</v>
      </c>
      <c r="C46" s="21"/>
      <c r="D46" s="131"/>
      <c r="E46" s="2"/>
      <c r="F46" s="2"/>
      <c r="G46" s="2"/>
      <c r="H46" s="2"/>
      <c r="I46" s="2"/>
      <c r="J46" s="2"/>
    </row>
    <row r="47" spans="1:10" x14ac:dyDescent="0.45">
      <c r="A47" s="30" t="s">
        <v>43</v>
      </c>
      <c r="B47" s="32" t="s">
        <v>130</v>
      </c>
      <c r="C47" s="21"/>
      <c r="D47" s="131"/>
      <c r="E47" s="2"/>
      <c r="F47" s="2"/>
      <c r="G47" s="2"/>
      <c r="H47" s="2"/>
      <c r="I47" s="2"/>
      <c r="J47" s="2"/>
    </row>
    <row r="48" spans="1:10" x14ac:dyDescent="0.45">
      <c r="A48" s="30" t="s">
        <v>44</v>
      </c>
      <c r="B48" s="32" t="s">
        <v>131</v>
      </c>
      <c r="C48" s="21"/>
      <c r="D48" s="131"/>
      <c r="E48" s="2"/>
      <c r="F48" s="2"/>
      <c r="G48" s="2"/>
      <c r="H48" s="2"/>
      <c r="I48" s="2"/>
      <c r="J48" s="2"/>
    </row>
    <row r="49" spans="1:10" x14ac:dyDescent="0.45">
      <c r="A49" s="30" t="s">
        <v>45</v>
      </c>
      <c r="B49" s="32" t="s">
        <v>146</v>
      </c>
      <c r="C49" s="21"/>
      <c r="D49" s="131"/>
      <c r="E49" s="2"/>
      <c r="F49" s="2"/>
      <c r="G49" s="2"/>
      <c r="H49" s="2"/>
      <c r="I49" s="2"/>
      <c r="J49" s="2"/>
    </row>
    <row r="50" spans="1:10" x14ac:dyDescent="0.45">
      <c r="A50" s="30" t="s">
        <v>46</v>
      </c>
      <c r="B50" s="32" t="s">
        <v>152</v>
      </c>
      <c r="C50" s="21"/>
      <c r="D50" s="131"/>
      <c r="E50" s="2"/>
      <c r="F50" s="2"/>
      <c r="G50" s="2"/>
      <c r="H50" s="2"/>
      <c r="I50" s="2"/>
      <c r="J50" s="2"/>
    </row>
    <row r="51" spans="1:10" x14ac:dyDescent="0.45">
      <c r="A51" s="30" t="s">
        <v>62</v>
      </c>
      <c r="B51" s="31" t="s">
        <v>142</v>
      </c>
      <c r="C51" s="21"/>
      <c r="D51" s="131"/>
      <c r="E51" s="2"/>
      <c r="F51" s="2"/>
      <c r="G51" s="2"/>
      <c r="H51" s="2"/>
      <c r="I51" s="2"/>
      <c r="J51" s="2"/>
    </row>
    <row r="52" spans="1:10" x14ac:dyDescent="0.45">
      <c r="A52" s="30" t="s">
        <v>47</v>
      </c>
      <c r="B52" s="32" t="s">
        <v>153</v>
      </c>
      <c r="C52" s="21"/>
      <c r="D52" s="131"/>
      <c r="E52" s="2"/>
      <c r="F52" s="2"/>
      <c r="G52" s="2"/>
      <c r="H52" s="2"/>
      <c r="I52" s="2"/>
      <c r="J52" s="2"/>
    </row>
    <row r="53" spans="1:10" x14ac:dyDescent="0.45">
      <c r="C53" s="5"/>
    </row>
    <row r="54" spans="1:10" x14ac:dyDescent="0.45">
      <c r="C54" s="5"/>
    </row>
  </sheetData>
  <sheetProtection algorithmName="SHA-512" hashValue="xAstPc3ewnolUkbm6+NWYx1ylRjayRHzxRx/vojhojTIAnN6QS67b+eaXA1m+B3WwQZCRXXvQFi+sK/oZPA1Aw==" saltValue="rdxmOnMhAY1KE786+nJnPQ==" spinCount="100000" sheet="1" objects="1" scenarios="1"/>
  <mergeCells count="12">
    <mergeCell ref="A1:D1"/>
    <mergeCell ref="A3:D3"/>
    <mergeCell ref="A12:D12"/>
    <mergeCell ref="A18:D18"/>
    <mergeCell ref="D4:D11"/>
    <mergeCell ref="D13:D17"/>
    <mergeCell ref="F3:M17"/>
    <mergeCell ref="A31:D31"/>
    <mergeCell ref="D19:D30"/>
    <mergeCell ref="D32:D41"/>
    <mergeCell ref="D43:D52"/>
    <mergeCell ref="A42:D42"/>
  </mergeCells>
  <phoneticPr fontId="17" type="noConversion"/>
  <dataValidations count="4">
    <dataValidation type="list" allowBlank="1" showInputMessage="1" showErrorMessage="1" sqref="E4:E5" xr:uid="{2E2D498F-34A5-4F5A-8B9A-901DF1CD8239}">
      <formula1>"Not at alll, Partially, Mostly, Completely"</formula1>
    </dataValidation>
    <dataValidation type="list" allowBlank="1" showInputMessage="1" showErrorMessage="1" sqref="C37:C40 C49:C52 C14:C17 C19:C27 C29 C8:C11 C33:C34 C4:C6 C43" xr:uid="{CCDF3595-19C6-461D-B2E5-6CC37E6B8B45}">
      <formula1>"Not at all, Partially, Mostly, Completely"</formula1>
    </dataValidation>
    <dataValidation type="list" allowBlank="1" showInputMessage="1" showErrorMessage="1" sqref="C13 C28 C30 C35:C36 C41 C46:C47 C45 C32 C44" xr:uid="{AA599F9A-26AC-4F7A-9F92-0EAAFCC4D080}">
      <formula1>"Not at all, Partially, Mostly, Completely, Not applicable"</formula1>
    </dataValidation>
    <dataValidation type="list" allowBlank="1" showInputMessage="1" showErrorMessage="1" sqref="C7 C48" xr:uid="{3FFFCFC7-AE07-4E36-9B0A-977764F9980E}">
      <formula1>"Not at all, Partially, Mostly, Completely,"</formula1>
    </dataValidation>
  </dataValidations>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ACF11-F4AB-40A5-9BF3-8286EA20E6E9}">
  <sheetPr codeName="Blad7"/>
  <dimension ref="A1:V79"/>
  <sheetViews>
    <sheetView zoomScaleNormal="100" workbookViewId="0">
      <selection activeCell="J3" sqref="J3:Q20"/>
    </sheetView>
  </sheetViews>
  <sheetFormatPr defaultColWidth="8.86328125" defaultRowHeight="14.25" x14ac:dyDescent="0.45"/>
  <cols>
    <col min="1" max="1" width="11.796875" style="37" customWidth="1"/>
    <col min="2" max="3" width="20" style="37" customWidth="1"/>
    <col min="4" max="4" width="23.33203125" style="37" customWidth="1"/>
    <col min="5" max="5" width="8.86328125" style="37"/>
    <col min="6" max="7" width="8.86328125" style="37" customWidth="1"/>
    <col min="8" max="16384" width="8.86328125" style="37"/>
  </cols>
  <sheetData>
    <row r="1" spans="1:22" ht="25.25" customHeight="1" x14ac:dyDescent="0.45">
      <c r="A1" s="117" t="s">
        <v>162</v>
      </c>
      <c r="B1" s="118"/>
      <c r="C1" s="118"/>
      <c r="D1" s="118"/>
    </row>
    <row r="2" spans="1:22" x14ac:dyDescent="0.45">
      <c r="A2" s="27" t="s">
        <v>0</v>
      </c>
      <c r="B2" s="27" t="s">
        <v>1</v>
      </c>
      <c r="C2" s="27" t="s">
        <v>2</v>
      </c>
      <c r="D2" s="27" t="s">
        <v>158</v>
      </c>
      <c r="E2" s="38"/>
      <c r="F2" s="38"/>
      <c r="G2" s="38"/>
      <c r="H2" s="38"/>
      <c r="I2" s="38"/>
      <c r="L2" s="39"/>
      <c r="M2" s="39"/>
      <c r="N2" s="39"/>
    </row>
    <row r="3" spans="1:22" ht="14.45" customHeight="1" x14ac:dyDescent="0.45">
      <c r="A3" s="119" t="s">
        <v>55</v>
      </c>
      <c r="B3" s="119"/>
      <c r="C3" s="119"/>
      <c r="D3" s="119"/>
      <c r="E3" s="38"/>
      <c r="F3" s="133" t="s">
        <v>166</v>
      </c>
      <c r="G3" s="134"/>
      <c r="H3" s="135"/>
      <c r="I3" s="40"/>
      <c r="J3" s="99" t="s">
        <v>177</v>
      </c>
      <c r="K3" s="100"/>
      <c r="L3" s="100"/>
      <c r="M3" s="100"/>
      <c r="N3" s="100"/>
      <c r="O3" s="100"/>
      <c r="P3" s="100"/>
      <c r="Q3" s="101"/>
      <c r="R3" s="40"/>
      <c r="S3" s="41"/>
      <c r="T3" s="41"/>
      <c r="U3" s="41"/>
      <c r="V3" s="41"/>
    </row>
    <row r="4" spans="1:22" x14ac:dyDescent="0.45">
      <c r="A4" s="120" t="s">
        <v>56</v>
      </c>
      <c r="B4" s="120"/>
      <c r="C4" s="120"/>
      <c r="D4" s="120"/>
      <c r="F4" s="42" t="s">
        <v>157</v>
      </c>
      <c r="G4" s="136" t="s">
        <v>158</v>
      </c>
      <c r="H4" s="137"/>
      <c r="I4" s="40"/>
      <c r="J4" s="102"/>
      <c r="K4" s="103"/>
      <c r="L4" s="103"/>
      <c r="M4" s="103"/>
      <c r="N4" s="103"/>
      <c r="O4" s="103"/>
      <c r="P4" s="103"/>
      <c r="Q4" s="104"/>
      <c r="R4" s="40"/>
      <c r="S4" s="41"/>
      <c r="T4" s="41"/>
      <c r="U4" s="41"/>
      <c r="V4" s="41"/>
    </row>
    <row r="5" spans="1:22" x14ac:dyDescent="0.45">
      <c r="A5" s="30" t="s">
        <v>7</v>
      </c>
      <c r="B5" s="30">
        <v>85</v>
      </c>
      <c r="C5" s="43">
        <v>75</v>
      </c>
      <c r="D5" s="25" t="str">
        <f>IF('Domain repres. assessment'!C5="Completely","✓",IF('Domain repres. assessment'!C5="Mostly","✓",IF('Domain repres. assessment'!C5="Not applicable","N/A",IF('Domain repres. assessment'!C5="","","✕"))))</f>
        <v/>
      </c>
      <c r="E5" s="44"/>
      <c r="F5" s="45" t="s">
        <v>160</v>
      </c>
      <c r="G5" s="138" t="s">
        <v>159</v>
      </c>
      <c r="H5" s="139"/>
      <c r="I5" s="40"/>
      <c r="J5" s="102"/>
      <c r="K5" s="103"/>
      <c r="L5" s="103"/>
      <c r="M5" s="103"/>
      <c r="N5" s="103"/>
      <c r="O5" s="103"/>
      <c r="P5" s="103"/>
      <c r="Q5" s="104"/>
      <c r="R5" s="40"/>
      <c r="S5" s="41"/>
      <c r="T5" s="41"/>
      <c r="U5" s="41"/>
      <c r="V5" s="41"/>
    </row>
    <row r="6" spans="1:22" x14ac:dyDescent="0.45">
      <c r="A6" s="120" t="s">
        <v>57</v>
      </c>
      <c r="B6" s="120"/>
      <c r="C6" s="120"/>
      <c r="D6" s="120"/>
      <c r="E6" s="44"/>
      <c r="F6" s="76" t="s">
        <v>165</v>
      </c>
      <c r="G6" s="140" t="s">
        <v>161</v>
      </c>
      <c r="H6" s="141"/>
      <c r="I6" s="40"/>
      <c r="J6" s="102"/>
      <c r="K6" s="103"/>
      <c r="L6" s="103"/>
      <c r="M6" s="103"/>
      <c r="N6" s="103"/>
      <c r="O6" s="103"/>
      <c r="P6" s="103"/>
      <c r="Q6" s="104"/>
      <c r="R6" s="40"/>
      <c r="S6" s="41"/>
      <c r="T6" s="41"/>
      <c r="U6" s="41"/>
      <c r="V6" s="41"/>
    </row>
    <row r="7" spans="1:22" x14ac:dyDescent="0.45">
      <c r="A7" s="30" t="s">
        <v>12</v>
      </c>
      <c r="B7" s="30">
        <v>79</v>
      </c>
      <c r="C7" s="43">
        <v>60.714285714285701</v>
      </c>
      <c r="D7" s="25" t="str">
        <f>IF('Domain repres. assessment'!C7="Completely","✓",IF('Domain repres. assessment'!C7="Mostly","✓",IF('Domain repres. assessment'!C7="Not applicable","N/A",IF('Domain repres. assessment'!C7="","","✕"))))</f>
        <v/>
      </c>
      <c r="E7" s="44"/>
      <c r="F7" s="40"/>
      <c r="G7" s="40"/>
      <c r="H7" s="40"/>
      <c r="I7" s="40"/>
      <c r="J7" s="102"/>
      <c r="K7" s="103"/>
      <c r="L7" s="103"/>
      <c r="M7" s="103"/>
      <c r="N7" s="103"/>
      <c r="O7" s="103"/>
      <c r="P7" s="103"/>
      <c r="Q7" s="104"/>
      <c r="R7" s="40"/>
      <c r="S7" s="41"/>
      <c r="T7" s="41"/>
      <c r="U7" s="41"/>
      <c r="V7" s="41"/>
    </row>
    <row r="8" spans="1:22" x14ac:dyDescent="0.45">
      <c r="A8" s="30" t="s">
        <v>16</v>
      </c>
      <c r="B8" s="30">
        <v>75</v>
      </c>
      <c r="C8" s="43">
        <v>57.142857142857103</v>
      </c>
      <c r="D8" s="25" t="str">
        <f>IF('Domain repres. assessment'!C8="Completely","✓",IF('Domain repres. assessment'!C8="Mostly","✓",IF('Domain repres. assessment'!C8="Not applicable","N/A",IF('Domain repres. assessment'!C8="","","✕"))))</f>
        <v/>
      </c>
      <c r="E8" s="44"/>
      <c r="F8" s="40"/>
      <c r="G8" s="40"/>
      <c r="H8" s="40"/>
      <c r="I8" s="40"/>
      <c r="J8" s="102"/>
      <c r="K8" s="103"/>
      <c r="L8" s="103"/>
      <c r="M8" s="103"/>
      <c r="N8" s="103"/>
      <c r="O8" s="103"/>
      <c r="P8" s="103"/>
      <c r="Q8" s="104"/>
      <c r="R8" s="40"/>
      <c r="S8" s="41"/>
      <c r="T8" s="41"/>
      <c r="U8" s="41"/>
      <c r="V8" s="41"/>
    </row>
    <row r="9" spans="1:22" x14ac:dyDescent="0.45">
      <c r="A9" s="120" t="s">
        <v>58</v>
      </c>
      <c r="B9" s="121"/>
      <c r="C9" s="121"/>
      <c r="D9" s="121"/>
      <c r="E9" s="44"/>
      <c r="F9" s="40"/>
      <c r="G9" s="40"/>
      <c r="H9" s="40"/>
      <c r="I9" s="40"/>
      <c r="J9" s="102"/>
      <c r="K9" s="103"/>
      <c r="L9" s="103"/>
      <c r="M9" s="103"/>
      <c r="N9" s="103"/>
      <c r="O9" s="103"/>
      <c r="P9" s="103"/>
      <c r="Q9" s="104"/>
      <c r="R9" s="40"/>
      <c r="S9" s="41"/>
      <c r="T9" s="41"/>
      <c r="U9" s="41"/>
      <c r="V9" s="41"/>
    </row>
    <row r="10" spans="1:22" x14ac:dyDescent="0.45">
      <c r="A10" s="30" t="s">
        <v>29</v>
      </c>
      <c r="B10" s="34">
        <v>47</v>
      </c>
      <c r="C10" s="46">
        <v>14.285714285714199</v>
      </c>
      <c r="D10" s="25" t="str">
        <f>IF('Domain repres. assessment'!C10="Completely","✓",IF('Domain repres. assessment'!C10="Mostly","✓",IF('Domain repres. assessment'!C10="Not applicable","N/A",IF('Domain repres. assessment'!C10="","","✕"))))</f>
        <v/>
      </c>
      <c r="E10" s="44"/>
      <c r="F10" s="40"/>
      <c r="G10" s="40"/>
      <c r="H10" s="40"/>
      <c r="I10" s="40"/>
      <c r="J10" s="102"/>
      <c r="K10" s="103"/>
      <c r="L10" s="103"/>
      <c r="M10" s="103"/>
      <c r="N10" s="103"/>
      <c r="O10" s="103"/>
      <c r="P10" s="103"/>
      <c r="Q10" s="104"/>
      <c r="R10" s="40"/>
      <c r="S10" s="41"/>
      <c r="T10" s="41"/>
      <c r="U10" s="41"/>
      <c r="V10" s="41"/>
    </row>
    <row r="11" spans="1:22" x14ac:dyDescent="0.45">
      <c r="A11" s="30" t="s">
        <v>32</v>
      </c>
      <c r="B11" s="34" t="s">
        <v>5</v>
      </c>
      <c r="C11" s="46" t="s">
        <v>5</v>
      </c>
      <c r="D11" s="25" t="str">
        <f>IF('Domain repres. assessment'!C11="Completely","✓",IF('Domain repres. assessment'!C11="Mostly","✓",IF('Domain repres. assessment'!C11="Not applicable","N/A",IF('Domain repres. assessment'!C11="","","✕"))))</f>
        <v/>
      </c>
      <c r="E11" s="44"/>
      <c r="F11" s="40"/>
      <c r="G11" s="40"/>
      <c r="H11" s="40"/>
      <c r="I11" s="40"/>
      <c r="J11" s="102"/>
      <c r="K11" s="103"/>
      <c r="L11" s="103"/>
      <c r="M11" s="103"/>
      <c r="N11" s="103"/>
      <c r="O11" s="103"/>
      <c r="P11" s="103"/>
      <c r="Q11" s="104"/>
      <c r="R11" s="40"/>
      <c r="S11" s="41"/>
      <c r="T11" s="41"/>
      <c r="U11" s="41"/>
      <c r="V11" s="41"/>
    </row>
    <row r="12" spans="1:22" x14ac:dyDescent="0.45">
      <c r="A12" s="30" t="s">
        <v>33</v>
      </c>
      <c r="B12" s="34" t="s">
        <v>5</v>
      </c>
      <c r="C12" s="46" t="s">
        <v>5</v>
      </c>
      <c r="D12" s="25" t="str">
        <f>IF('Domain repres. assessment'!C12="Completely","✓",IF('Domain repres. assessment'!C12="Mostly","✓",IF('Domain repres. assessment'!C12="Not applicable","N/A",IF('Domain repres. assessment'!C12="","","✕"))))</f>
        <v/>
      </c>
      <c r="E12" s="44"/>
      <c r="F12" s="40"/>
      <c r="G12" s="40"/>
      <c r="H12" s="40"/>
      <c r="I12" s="40"/>
      <c r="J12" s="102"/>
      <c r="K12" s="103"/>
      <c r="L12" s="103"/>
      <c r="M12" s="103"/>
      <c r="N12" s="103"/>
      <c r="O12" s="103"/>
      <c r="P12" s="103"/>
      <c r="Q12" s="104"/>
      <c r="R12" s="40"/>
      <c r="S12" s="41"/>
      <c r="T12" s="41"/>
      <c r="U12" s="41"/>
      <c r="V12" s="41"/>
    </row>
    <row r="13" spans="1:22" x14ac:dyDescent="0.45">
      <c r="A13" s="30" t="s">
        <v>34</v>
      </c>
      <c r="B13" s="34">
        <v>48</v>
      </c>
      <c r="C13" s="46">
        <v>17.857142857142801</v>
      </c>
      <c r="D13" s="25" t="str">
        <f>IF('Domain repres. assessment'!C13="Completely","✓",IF('Domain repres. assessment'!C13="Mostly","✓",IF('Domain repres. assessment'!C13="Not applicable","N/A",IF('Domain repres. assessment'!C13="","","✕"))))</f>
        <v/>
      </c>
      <c r="E13" s="44"/>
      <c r="F13" s="40"/>
      <c r="G13" s="40"/>
      <c r="H13" s="40"/>
      <c r="I13" s="40"/>
      <c r="J13" s="102"/>
      <c r="K13" s="103"/>
      <c r="L13" s="103"/>
      <c r="M13" s="103"/>
      <c r="N13" s="103"/>
      <c r="O13" s="103"/>
      <c r="P13" s="103"/>
      <c r="Q13" s="104"/>
      <c r="R13" s="40"/>
      <c r="S13" s="41"/>
      <c r="T13" s="41"/>
      <c r="U13" s="41"/>
      <c r="V13" s="41"/>
    </row>
    <row r="14" spans="1:22" x14ac:dyDescent="0.45">
      <c r="A14" s="30" t="s">
        <v>38</v>
      </c>
      <c r="B14" s="34" t="s">
        <v>5</v>
      </c>
      <c r="C14" s="46" t="s">
        <v>5</v>
      </c>
      <c r="D14" s="25" t="str">
        <f>IF('Domain repres. assessment'!C14="Completely","✓",IF('Domain repres. assessment'!C14="Mostly","✓",IF('Domain repres. assessment'!C14="Not applicable","N/A",IF('Domain repres. assessment'!C14="","","✕"))))</f>
        <v/>
      </c>
      <c r="E14" s="44"/>
      <c r="F14" s="40"/>
      <c r="G14" s="40"/>
      <c r="H14" s="40"/>
      <c r="I14" s="40"/>
      <c r="J14" s="102"/>
      <c r="K14" s="103"/>
      <c r="L14" s="103"/>
      <c r="M14" s="103"/>
      <c r="N14" s="103"/>
      <c r="O14" s="103"/>
      <c r="P14" s="103"/>
      <c r="Q14" s="104"/>
      <c r="R14" s="40"/>
      <c r="S14" s="41"/>
      <c r="T14" s="41"/>
      <c r="U14" s="41"/>
      <c r="V14" s="41"/>
    </row>
    <row r="15" spans="1:22" ht="14.45" customHeight="1" x14ac:dyDescent="0.45">
      <c r="A15" s="113" t="s">
        <v>59</v>
      </c>
      <c r="B15" s="113"/>
      <c r="C15" s="113"/>
      <c r="D15" s="113"/>
      <c r="F15" s="40"/>
      <c r="G15" s="40"/>
      <c r="H15" s="40"/>
      <c r="I15" s="40"/>
      <c r="J15" s="102"/>
      <c r="K15" s="103"/>
      <c r="L15" s="103"/>
      <c r="M15" s="103"/>
      <c r="N15" s="103"/>
      <c r="O15" s="103"/>
      <c r="P15" s="103"/>
      <c r="Q15" s="104"/>
      <c r="R15" s="40"/>
      <c r="S15" s="41"/>
      <c r="T15" s="41"/>
      <c r="U15" s="41"/>
      <c r="V15" s="41"/>
    </row>
    <row r="16" spans="1:22" ht="14.45" customHeight="1" x14ac:dyDescent="0.45">
      <c r="A16" s="114" t="s">
        <v>56</v>
      </c>
      <c r="B16" s="114"/>
      <c r="C16" s="114"/>
      <c r="D16" s="114"/>
      <c r="F16" s="40"/>
      <c r="G16" s="40"/>
      <c r="H16" s="40"/>
      <c r="I16" s="40"/>
      <c r="J16" s="102"/>
      <c r="K16" s="103"/>
      <c r="L16" s="103"/>
      <c r="M16" s="103"/>
      <c r="N16" s="103"/>
      <c r="O16" s="103"/>
      <c r="P16" s="103"/>
      <c r="Q16" s="104"/>
      <c r="R16" s="40"/>
      <c r="S16" s="41"/>
      <c r="T16" s="41"/>
      <c r="U16" s="41"/>
      <c r="V16" s="41"/>
    </row>
    <row r="17" spans="1:22" ht="14.45" customHeight="1" x14ac:dyDescent="0.45">
      <c r="A17" s="30" t="s">
        <v>3</v>
      </c>
      <c r="B17" s="30">
        <v>97</v>
      </c>
      <c r="C17" s="43">
        <v>96.428571428571402</v>
      </c>
      <c r="D17" s="25" t="str">
        <f>IF('Domain repres. assessment'!C17="Completely","✓",IF('Domain repres. assessment'!C17="Mostly","✓",IF('Domain repres. assessment'!C17="Not applicable","N/A",IF('Domain repres. assessment'!C17="","","✕"))))</f>
        <v/>
      </c>
      <c r="E17" s="47"/>
      <c r="F17" s="40"/>
      <c r="G17" s="40"/>
      <c r="H17" s="40"/>
      <c r="I17" s="40"/>
      <c r="J17" s="102"/>
      <c r="K17" s="103"/>
      <c r="L17" s="103"/>
      <c r="M17" s="103"/>
      <c r="N17" s="103"/>
      <c r="O17" s="103"/>
      <c r="P17" s="103"/>
      <c r="Q17" s="104"/>
      <c r="R17" s="40"/>
      <c r="S17" s="41"/>
      <c r="T17" s="41"/>
      <c r="U17" s="41"/>
      <c r="V17" s="41"/>
    </row>
    <row r="18" spans="1:22" x14ac:dyDescent="0.45">
      <c r="A18" s="30" t="s">
        <v>4</v>
      </c>
      <c r="B18" s="30">
        <v>102</v>
      </c>
      <c r="C18" s="43">
        <v>100</v>
      </c>
      <c r="D18" s="25" t="str">
        <f>IF('Domain repres. assessment'!C18="Completely","✓",IF('Domain repres. assessment'!C18="Mostly","✓",IF('Domain repres. assessment'!C18="Not applicable","N/A",IF('Domain repres. assessment'!C18="","","✕"))))</f>
        <v/>
      </c>
      <c r="E18" s="47"/>
      <c r="F18" s="41"/>
      <c r="G18" s="41"/>
      <c r="H18" s="41"/>
      <c r="I18" s="41"/>
      <c r="J18" s="102"/>
      <c r="K18" s="103"/>
      <c r="L18" s="103"/>
      <c r="M18" s="103"/>
      <c r="N18" s="103"/>
      <c r="O18" s="103"/>
      <c r="P18" s="103"/>
      <c r="Q18" s="104"/>
    </row>
    <row r="19" spans="1:22" x14ac:dyDescent="0.45">
      <c r="A19" s="30" t="s">
        <v>8</v>
      </c>
      <c r="B19" s="30">
        <v>96</v>
      </c>
      <c r="C19" s="43">
        <v>91.071428571428498</v>
      </c>
      <c r="D19" s="25" t="str">
        <f>IF('Domain repres. assessment'!C19="Completely","✓",IF('Domain repres. assessment'!C19="Mostly","✓",IF('Domain repres. assessment'!C19="Not applicable","N/A",IF('Domain repres. assessment'!C19="","","✕"))))</f>
        <v/>
      </c>
      <c r="E19" s="47"/>
      <c r="F19" s="41"/>
      <c r="G19" s="41"/>
      <c r="H19" s="41"/>
      <c r="I19" s="41"/>
      <c r="J19" s="102"/>
      <c r="K19" s="103"/>
      <c r="L19" s="103"/>
      <c r="M19" s="103"/>
      <c r="N19" s="103"/>
      <c r="O19" s="103"/>
      <c r="P19" s="103"/>
      <c r="Q19" s="104"/>
    </row>
    <row r="20" spans="1:22" x14ac:dyDescent="0.45">
      <c r="A20" s="30" t="s">
        <v>11</v>
      </c>
      <c r="B20" s="30">
        <v>96</v>
      </c>
      <c r="C20" s="43">
        <v>91.071428571428498</v>
      </c>
      <c r="D20" s="25" t="str">
        <f>IF('Domain repres. assessment'!C20="Completely","✓",IF('Domain repres. assessment'!C20="Mostly","✓",IF('Domain repres. assessment'!C20="Not applicable","N/A",IF('Domain repres. assessment'!C20="","","✕"))))</f>
        <v/>
      </c>
      <c r="E20" s="47"/>
      <c r="F20" s="41"/>
      <c r="G20" s="41"/>
      <c r="H20" s="41"/>
      <c r="I20" s="41"/>
      <c r="J20" s="105"/>
      <c r="K20" s="106"/>
      <c r="L20" s="106"/>
      <c r="M20" s="106"/>
      <c r="N20" s="106"/>
      <c r="O20" s="106"/>
      <c r="P20" s="106"/>
      <c r="Q20" s="107"/>
    </row>
    <row r="21" spans="1:22" x14ac:dyDescent="0.45">
      <c r="A21" s="30" t="s">
        <v>10</v>
      </c>
      <c r="B21" s="30">
        <v>95</v>
      </c>
      <c r="C21" s="43">
        <v>83.928571428571402</v>
      </c>
      <c r="D21" s="25" t="str">
        <f>IF('Domain repres. assessment'!C21="Completely","✓",IF('Domain repres. assessment'!C21="Mostly","✓",IF('Domain repres. assessment'!C21="Not applicable","N/A",IF('Domain repres. assessment'!C21="","","✕"))))</f>
        <v/>
      </c>
      <c r="E21" s="47"/>
      <c r="F21" s="41"/>
      <c r="G21" s="41"/>
      <c r="H21" s="41"/>
      <c r="I21" s="41"/>
      <c r="J21" s="41"/>
      <c r="K21" s="41"/>
      <c r="L21" s="41"/>
      <c r="M21" s="41"/>
      <c r="N21" s="41"/>
      <c r="O21" s="41"/>
      <c r="P21" s="41"/>
      <c r="Q21" s="41"/>
    </row>
    <row r="22" spans="1:22" x14ac:dyDescent="0.45">
      <c r="A22" s="30" t="s">
        <v>9</v>
      </c>
      <c r="B22" s="30">
        <v>90</v>
      </c>
      <c r="C22" s="43">
        <v>78.571428571428498</v>
      </c>
      <c r="D22" s="25" t="str">
        <f>IF('Domain repres. assessment'!C22="Completely","✓",IF('Domain repres. assessment'!C22="Mostly","✓",IF('Domain repres. assessment'!C22="Not applicable","N/A",IF('Domain repres. assessment'!C22="","","✕"))))</f>
        <v/>
      </c>
      <c r="E22" s="47"/>
      <c r="F22" s="41"/>
      <c r="G22" s="41"/>
      <c r="H22" s="41"/>
      <c r="I22" s="41"/>
      <c r="J22" s="41"/>
      <c r="K22" s="41"/>
      <c r="L22" s="41"/>
      <c r="M22" s="41"/>
      <c r="N22" s="41"/>
      <c r="O22" s="41"/>
      <c r="P22" s="41"/>
      <c r="Q22" s="41"/>
    </row>
    <row r="23" spans="1:22" x14ac:dyDescent="0.45">
      <c r="A23" s="114" t="s">
        <v>57</v>
      </c>
      <c r="B23" s="115"/>
      <c r="C23" s="115"/>
      <c r="D23" s="115"/>
      <c r="E23" s="47"/>
      <c r="F23" s="41"/>
      <c r="G23" s="41"/>
      <c r="H23" s="41"/>
      <c r="I23" s="41"/>
      <c r="J23" s="41"/>
      <c r="K23" s="41"/>
      <c r="L23" s="41"/>
      <c r="M23" s="41"/>
    </row>
    <row r="24" spans="1:22" x14ac:dyDescent="0.45">
      <c r="A24" s="30" t="s">
        <v>25</v>
      </c>
      <c r="B24" s="34">
        <v>66</v>
      </c>
      <c r="C24" s="46">
        <v>46.428571428571402</v>
      </c>
      <c r="D24" s="25" t="str">
        <f>IF('Domain repres. assessment'!C24="Completely","✓",IF('Domain repres. assessment'!C24="Mostly","✓",IF('Domain repres. assessment'!C24="Not applicable","N/A",IF('Domain repres. assessment'!C24="","","✕"))))</f>
        <v/>
      </c>
      <c r="E24" s="47"/>
      <c r="F24" s="41"/>
      <c r="G24" s="41"/>
      <c r="H24" s="41"/>
      <c r="I24" s="41"/>
      <c r="J24" s="41"/>
      <c r="K24" s="41"/>
      <c r="L24" s="41"/>
      <c r="M24" s="41"/>
    </row>
    <row r="25" spans="1:22" x14ac:dyDescent="0.45">
      <c r="A25" s="30" t="s">
        <v>26</v>
      </c>
      <c r="B25" s="34">
        <v>53</v>
      </c>
      <c r="C25" s="46">
        <v>25</v>
      </c>
      <c r="D25" s="25" t="str">
        <f>IF('Domain repres. assessment'!C25="Completely","✓",IF('Domain repres. assessment'!C25="Mostly","✓",IF('Domain repres. assessment'!C25="Not applicable","N/A",IF('Domain repres. assessment'!C25="","","✕"))))</f>
        <v/>
      </c>
      <c r="E25" s="47"/>
      <c r="F25" s="47"/>
      <c r="G25" s="47"/>
      <c r="H25" s="47"/>
      <c r="I25" s="47"/>
      <c r="J25" s="48"/>
    </row>
    <row r="26" spans="1:22" x14ac:dyDescent="0.45">
      <c r="A26" s="30" t="s">
        <v>22</v>
      </c>
      <c r="B26" s="34">
        <v>50</v>
      </c>
      <c r="C26" s="46">
        <v>21.428571428571399</v>
      </c>
      <c r="D26" s="25" t="str">
        <f>IF('Domain repres. assessment'!C26="Completely","✓",IF('Domain repres. assessment'!C26="Mostly","✓",IF('Domain repres. assessment'!C26="Not applicable","N/A",IF('Domain repres. assessment'!C26="","","✕"))))</f>
        <v/>
      </c>
      <c r="E26" s="47"/>
      <c r="F26" s="47"/>
      <c r="G26" s="47"/>
      <c r="H26" s="47"/>
      <c r="I26" s="47"/>
      <c r="J26" s="48"/>
    </row>
    <row r="27" spans="1:22" x14ac:dyDescent="0.45">
      <c r="A27" s="30" t="s">
        <v>23</v>
      </c>
      <c r="B27" s="34" t="s">
        <v>5</v>
      </c>
      <c r="C27" s="46" t="s">
        <v>5</v>
      </c>
      <c r="D27" s="25" t="str">
        <f>IF('Domain repres. assessment'!C27="Completely","✓",IF('Domain repres. assessment'!C27="Mostly","✓",IF('Domain repres. assessment'!C27="Not applicable","N/A",IF('Domain repres. assessment'!C27="","","✕"))))</f>
        <v/>
      </c>
      <c r="E27" s="47"/>
      <c r="F27" s="47"/>
      <c r="G27" s="47"/>
      <c r="H27" s="47"/>
      <c r="I27" s="47"/>
      <c r="J27" s="48"/>
    </row>
    <row r="28" spans="1:22" x14ac:dyDescent="0.45">
      <c r="A28" s="114" t="s">
        <v>58</v>
      </c>
      <c r="B28" s="114"/>
      <c r="C28" s="114"/>
      <c r="D28" s="114"/>
      <c r="E28" s="47"/>
      <c r="F28" s="47"/>
      <c r="G28" s="47"/>
      <c r="H28" s="47"/>
      <c r="I28" s="47"/>
      <c r="J28" s="48"/>
    </row>
    <row r="29" spans="1:22" x14ac:dyDescent="0.45">
      <c r="A29" s="30" t="s">
        <v>40</v>
      </c>
      <c r="B29" s="34">
        <v>28</v>
      </c>
      <c r="C29" s="46">
        <v>3.5714285714285698</v>
      </c>
      <c r="D29" s="25" t="str">
        <f>IF('Domain repres. assessment'!C29="Completely","✓",IF('Domain repres. assessment'!C29="Mostly","✓",IF('Domain repres. assessment'!C29="Not applicable","N/A",IF('Domain repres. assessment'!C29="","","✕"))))</f>
        <v/>
      </c>
      <c r="E29" s="47"/>
      <c r="F29" s="47"/>
      <c r="G29" s="47"/>
      <c r="H29" s="47"/>
      <c r="I29" s="47"/>
      <c r="J29" s="48"/>
    </row>
    <row r="30" spans="1:22" x14ac:dyDescent="0.45">
      <c r="A30" s="30" t="s">
        <v>41</v>
      </c>
      <c r="B30" s="34">
        <v>37</v>
      </c>
      <c r="C30" s="46">
        <v>7.1428571428571397</v>
      </c>
      <c r="D30" s="25" t="str">
        <f>IF('Domain repres. assessment'!C30="Completely","✓",IF('Domain repres. assessment'!C30="Mostly","✓",IF('Domain repres. assessment'!C30="Not applicable","N/A",IF('Domain repres. assessment'!C30="","","✕"))))</f>
        <v/>
      </c>
      <c r="E30" s="47"/>
      <c r="F30" s="47"/>
      <c r="G30" s="47"/>
      <c r="H30" s="47"/>
      <c r="I30" s="47"/>
      <c r="J30" s="48"/>
    </row>
    <row r="31" spans="1:22" x14ac:dyDescent="0.45">
      <c r="A31" s="30" t="s">
        <v>42</v>
      </c>
      <c r="B31" s="30" t="s">
        <v>5</v>
      </c>
      <c r="C31" s="43" t="s">
        <v>5</v>
      </c>
      <c r="D31" s="25" t="str">
        <f>IF('Domain repres. assessment'!C31="Completely","✓",IF('Domain repres. assessment'!C31="Mostly","✓",IF('Domain repres. assessment'!C31="Not applicable","N/A",IF('Domain repres. assessment'!C31="","","✕"))))</f>
        <v/>
      </c>
      <c r="E31" s="47"/>
      <c r="F31" s="47"/>
      <c r="G31" s="47"/>
      <c r="H31" s="47"/>
      <c r="I31" s="47"/>
      <c r="J31" s="48"/>
    </row>
    <row r="32" spans="1:22" x14ac:dyDescent="0.45">
      <c r="A32" s="30" t="s">
        <v>43</v>
      </c>
      <c r="B32" s="30" t="s">
        <v>5</v>
      </c>
      <c r="C32" s="43" t="s">
        <v>5</v>
      </c>
      <c r="D32" s="25" t="str">
        <f>IF('Domain repres. assessment'!C32="Completely","✓",IF('Domain repres. assessment'!C32="Mostly","✓",IF('Domain repres. assessment'!C32="Not applicable","N/A",IF('Domain repres. assessment'!C32="","","✕"))))</f>
        <v/>
      </c>
      <c r="E32" s="47"/>
      <c r="F32" s="47"/>
      <c r="G32" s="47"/>
      <c r="H32" s="47"/>
      <c r="I32" s="47"/>
      <c r="J32" s="48"/>
    </row>
    <row r="33" spans="1:10" x14ac:dyDescent="0.45">
      <c r="A33" s="30" t="s">
        <v>44</v>
      </c>
      <c r="B33" s="30" t="s">
        <v>5</v>
      </c>
      <c r="C33" s="43" t="s">
        <v>5</v>
      </c>
      <c r="D33" s="25" t="str">
        <f>IF('Domain repres. assessment'!C33="Completely","✓",IF('Domain repres. assessment'!C33="Mostly","✓",IF('Domain repres. assessment'!C33="Not applicable","N/A",IF('Domain repres. assessment'!C33="","","✕"))))</f>
        <v/>
      </c>
      <c r="E33" s="47"/>
      <c r="F33" s="47"/>
      <c r="G33" s="47"/>
      <c r="H33" s="47"/>
      <c r="I33" s="47"/>
      <c r="J33" s="48"/>
    </row>
    <row r="34" spans="1:10" ht="14.45" customHeight="1" x14ac:dyDescent="0.45">
      <c r="A34" s="112" t="s">
        <v>60</v>
      </c>
      <c r="B34" s="112"/>
      <c r="C34" s="112"/>
      <c r="D34" s="112"/>
    </row>
    <row r="35" spans="1:10" x14ac:dyDescent="0.45">
      <c r="A35" s="116" t="s">
        <v>56</v>
      </c>
      <c r="B35" s="116"/>
      <c r="C35" s="116"/>
      <c r="D35" s="116"/>
    </row>
    <row r="36" spans="1:10" x14ac:dyDescent="0.45">
      <c r="A36" s="30" t="s">
        <v>24</v>
      </c>
      <c r="B36" s="30">
        <v>60</v>
      </c>
      <c r="C36" s="43">
        <v>39.285714285714199</v>
      </c>
      <c r="D36" s="25" t="str">
        <f>IF('Domain repres. assessment'!C36="Completely","✓",IF('Domain repres. assessment'!C36="Mostly","✓",IF('Domain repres. assessment'!C36="Not applicable","N/A",IF('Domain repres. assessment'!C36="","","✕"))))</f>
        <v/>
      </c>
      <c r="E36" s="49"/>
      <c r="F36" s="49"/>
      <c r="G36" s="49"/>
      <c r="H36" s="49"/>
      <c r="I36" s="49"/>
    </row>
    <row r="37" spans="1:10" x14ac:dyDescent="0.45">
      <c r="A37" s="116" t="s">
        <v>57</v>
      </c>
      <c r="B37" s="116"/>
      <c r="C37" s="116"/>
      <c r="D37" s="116"/>
      <c r="E37" s="49"/>
      <c r="F37" s="49"/>
      <c r="G37" s="49"/>
      <c r="H37" s="49"/>
      <c r="I37" s="49"/>
    </row>
    <row r="38" spans="1:10" x14ac:dyDescent="0.45">
      <c r="A38" s="34" t="s">
        <v>30</v>
      </c>
      <c r="B38" s="34">
        <v>42</v>
      </c>
      <c r="C38" s="46">
        <v>10.714285714285699</v>
      </c>
      <c r="D38" s="25" t="str">
        <f>IF('Domain repres. assessment'!C38="Completely","✓",IF('Domain repres. assessment'!C38="Mostly","✓",IF('Domain repres. assessment'!C38="Not applicable","N/A",IF('Domain repres. assessment'!C38="","","✕"))))</f>
        <v/>
      </c>
      <c r="E38" s="49"/>
      <c r="F38" s="49"/>
      <c r="G38" s="49"/>
      <c r="H38" s="49"/>
      <c r="I38" s="49"/>
    </row>
    <row r="39" spans="1:10" x14ac:dyDescent="0.45">
      <c r="A39" s="34" t="s">
        <v>31</v>
      </c>
      <c r="B39" s="34" t="s">
        <v>5</v>
      </c>
      <c r="C39" s="46" t="s">
        <v>5</v>
      </c>
      <c r="D39" s="25" t="str">
        <f>IF('Domain repres. assessment'!C39="Completely","✓",IF('Domain repres. assessment'!C39="Mostly","✓",IF('Domain repres. assessment'!C39="Not applicable","N/A",IF('Domain repres. assessment'!C39="","","✕"))))</f>
        <v/>
      </c>
      <c r="E39" s="49"/>
      <c r="F39" s="49"/>
      <c r="G39" s="49"/>
      <c r="H39" s="49"/>
      <c r="I39" s="49"/>
    </row>
    <row r="40" spans="1:10" x14ac:dyDescent="0.45">
      <c r="A40" s="116" t="s">
        <v>58</v>
      </c>
      <c r="B40" s="116"/>
      <c r="C40" s="116"/>
      <c r="D40" s="116"/>
      <c r="E40" s="49"/>
      <c r="F40" s="49"/>
      <c r="G40" s="49"/>
      <c r="H40" s="49"/>
      <c r="I40" s="49"/>
    </row>
    <row r="41" spans="1:10" x14ac:dyDescent="0.45">
      <c r="A41" s="34" t="s">
        <v>39</v>
      </c>
      <c r="B41" s="34" t="s">
        <v>5</v>
      </c>
      <c r="C41" s="34" t="s">
        <v>5</v>
      </c>
      <c r="D41" s="25" t="str">
        <f>IF('Domain repres. assessment'!C41="Completely","✓",IF('Domain repres. assessment'!C41="Mostly","✓",IF('Domain repres. assessment'!C41="Not applicable","N/A",IF('Domain repres. assessment'!C41="","","✕"))))</f>
        <v/>
      </c>
      <c r="E41" s="49"/>
      <c r="F41" s="49"/>
      <c r="G41" s="49"/>
      <c r="H41" s="49"/>
      <c r="I41" s="49"/>
    </row>
    <row r="42" spans="1:10" ht="14.45" customHeight="1" x14ac:dyDescent="0.45">
      <c r="A42" s="110" t="s">
        <v>61</v>
      </c>
      <c r="B42" s="110"/>
      <c r="C42" s="110"/>
      <c r="D42" s="110"/>
    </row>
    <row r="43" spans="1:10" x14ac:dyDescent="0.45">
      <c r="A43" s="111" t="s">
        <v>56</v>
      </c>
      <c r="B43" s="111"/>
      <c r="C43" s="111"/>
      <c r="D43" s="111"/>
    </row>
    <row r="44" spans="1:10" x14ac:dyDescent="0.45">
      <c r="A44" s="30" t="s">
        <v>13</v>
      </c>
      <c r="B44" s="30">
        <v>80</v>
      </c>
      <c r="C44" s="43">
        <v>67.857142857142804</v>
      </c>
      <c r="D44" s="25" t="str">
        <f>IF('Domain repres. assessment'!C44="Completely","✓",IF('Domain repres. assessment'!C44="Mostly","✓",IF('Domain repres. assessment'!C44="Not applicable","N/A",IF('Domain repres. assessment'!C44="","","✕"))))</f>
        <v/>
      </c>
      <c r="E44" s="50"/>
      <c r="F44" s="50"/>
      <c r="G44" s="50"/>
      <c r="H44" s="50"/>
      <c r="I44" s="50"/>
    </row>
    <row r="45" spans="1:10" x14ac:dyDescent="0.45">
      <c r="A45" s="111" t="s">
        <v>57</v>
      </c>
      <c r="B45" s="111"/>
      <c r="C45" s="111"/>
      <c r="D45" s="111"/>
      <c r="E45" s="50"/>
      <c r="F45" s="50"/>
      <c r="G45" s="50"/>
      <c r="H45" s="50"/>
      <c r="I45" s="50"/>
    </row>
    <row r="46" spans="1:10" x14ac:dyDescent="0.45">
      <c r="A46" s="30" t="s">
        <v>17</v>
      </c>
      <c r="B46" s="30">
        <v>68</v>
      </c>
      <c r="C46" s="43">
        <v>50</v>
      </c>
      <c r="D46" s="25" t="str">
        <f>IF('Domain repres. assessment'!C46="Completely","✓",IF('Domain repres. assessment'!C46="Mostly","✓",IF('Domain repres. assessment'!C46="Not applicable","N/A",IF('Domain repres. assessment'!C46="","","✕"))))</f>
        <v/>
      </c>
      <c r="E46" s="50"/>
      <c r="F46" s="50"/>
      <c r="G46" s="50"/>
      <c r="H46" s="50"/>
      <c r="I46" s="50"/>
    </row>
    <row r="47" spans="1:10" x14ac:dyDescent="0.45">
      <c r="A47" s="30" t="s">
        <v>18</v>
      </c>
      <c r="B47" s="30">
        <v>72</v>
      </c>
      <c r="C47" s="43">
        <v>53.571428571428498</v>
      </c>
      <c r="D47" s="25" t="str">
        <f>IF('Domain repres. assessment'!C47="Completely","✓",IF('Domain repres. assessment'!C47="Mostly","✓",IF('Domain repres. assessment'!C47="Not applicable","N/A",IF('Domain repres. assessment'!C47="","","✕"))))</f>
        <v/>
      </c>
      <c r="E47" s="50"/>
      <c r="F47" s="50"/>
      <c r="G47" s="50"/>
      <c r="H47" s="50"/>
      <c r="I47" s="50"/>
    </row>
    <row r="48" spans="1:10" x14ac:dyDescent="0.45">
      <c r="A48" s="30" t="s">
        <v>19</v>
      </c>
      <c r="B48" s="30">
        <v>54</v>
      </c>
      <c r="C48" s="43">
        <v>30.357142857142801</v>
      </c>
      <c r="D48" s="25" t="str">
        <f>IF('Domain repres. assessment'!C48="Completely","✓",IF('Domain repres. assessment'!C48="Mostly","✓",IF('Domain repres. assessment'!C48="Not applicable","N/A",IF('Domain repres. assessment'!C48="","","✕"))))</f>
        <v/>
      </c>
      <c r="E48" s="50"/>
      <c r="F48" s="50"/>
      <c r="G48" s="50"/>
      <c r="H48" s="50"/>
      <c r="I48" s="50"/>
    </row>
    <row r="49" spans="1:9" x14ac:dyDescent="0.45">
      <c r="A49" s="30" t="s">
        <v>20</v>
      </c>
      <c r="B49" s="30">
        <v>62</v>
      </c>
      <c r="C49" s="43">
        <v>42.857142857142797</v>
      </c>
      <c r="D49" s="25" t="str">
        <f>IF('Domain repres. assessment'!C49="Completely","✓",IF('Domain repres. assessment'!C49="Mostly","✓",IF('Domain repres. assessment'!C49="Not applicable","N/A",IF('Domain repres. assessment'!C49="","","✕"))))</f>
        <v/>
      </c>
      <c r="E49" s="50"/>
      <c r="F49" s="50"/>
      <c r="G49" s="50"/>
      <c r="H49" s="50"/>
      <c r="I49" s="50"/>
    </row>
    <row r="50" spans="1:9" x14ac:dyDescent="0.45">
      <c r="A50" s="30" t="s">
        <v>21</v>
      </c>
      <c r="B50" s="30">
        <v>56</v>
      </c>
      <c r="C50" s="43">
        <v>35.714285714285701</v>
      </c>
      <c r="D50" s="25" t="str">
        <f>IF('Domain repres. assessment'!C50="Completely","✓",IF('Domain repres. assessment'!C50="Mostly","✓",IF('Domain repres. assessment'!C50="Not applicable","N/A",IF('Domain repres. assessment'!C50="","","✕"))))</f>
        <v/>
      </c>
      <c r="E50" s="50"/>
      <c r="F50" s="50"/>
      <c r="G50" s="50"/>
      <c r="H50" s="50"/>
      <c r="I50" s="50"/>
    </row>
    <row r="51" spans="1:9" x14ac:dyDescent="0.45">
      <c r="A51" s="111" t="s">
        <v>58</v>
      </c>
      <c r="B51" s="111"/>
      <c r="C51" s="111"/>
      <c r="D51" s="111"/>
      <c r="E51" s="50"/>
      <c r="F51" s="50"/>
      <c r="G51" s="50"/>
      <c r="H51" s="50"/>
      <c r="I51" s="50"/>
    </row>
    <row r="52" spans="1:9" x14ac:dyDescent="0.45">
      <c r="A52" s="30" t="s">
        <v>62</v>
      </c>
      <c r="B52" s="30" t="s">
        <v>5</v>
      </c>
      <c r="C52" s="30" t="s">
        <v>5</v>
      </c>
      <c r="D52" s="25" t="str">
        <f>IF('Domain repres. assessment'!C52="Completely","✓",IF('Domain repres. assessment'!C52="Mostly","✓",IF('Domain repres. assessment'!C52="Not applicable","N/A",IF('Domain repres. assessment'!C52="","","✕"))))</f>
        <v/>
      </c>
      <c r="E52" s="50"/>
      <c r="F52" s="50"/>
      <c r="G52" s="50"/>
      <c r="H52" s="50"/>
      <c r="I52" s="50"/>
    </row>
    <row r="53" spans="1:9" ht="14.45" customHeight="1" x14ac:dyDescent="0.45">
      <c r="A53" s="124" t="s">
        <v>63</v>
      </c>
      <c r="B53" s="124"/>
      <c r="C53" s="124"/>
      <c r="D53" s="124"/>
    </row>
    <row r="54" spans="1:9" x14ac:dyDescent="0.45">
      <c r="A54" s="125" t="s">
        <v>56</v>
      </c>
      <c r="B54" s="125"/>
      <c r="C54" s="125"/>
      <c r="D54" s="125"/>
    </row>
    <row r="55" spans="1:9" ht="14.45" customHeight="1" x14ac:dyDescent="0.45">
      <c r="A55" s="30" t="s">
        <v>6</v>
      </c>
      <c r="B55" s="34">
        <v>95</v>
      </c>
      <c r="C55" s="46">
        <v>83.928571428571402</v>
      </c>
      <c r="D55" s="25" t="str">
        <f>IF('Domain repres. assessment'!C55="Completely","✓",IF('Domain repres. assessment'!C55="Mostly","✓",IF('Domain repres. assessment'!C55="Not applicable","N/A",IF('Domain repres. assessment'!C55="","","✕"))))</f>
        <v/>
      </c>
      <c r="E55" s="49"/>
      <c r="F55" s="49"/>
      <c r="G55" s="49"/>
      <c r="H55" s="49"/>
      <c r="I55" s="49"/>
    </row>
    <row r="56" spans="1:9" x14ac:dyDescent="0.45">
      <c r="A56" s="125" t="s">
        <v>57</v>
      </c>
      <c r="B56" s="125"/>
      <c r="C56" s="125"/>
      <c r="D56" s="125"/>
      <c r="E56" s="49"/>
      <c r="F56" s="49"/>
      <c r="G56" s="49"/>
      <c r="H56" s="49"/>
      <c r="I56" s="49"/>
    </row>
    <row r="57" spans="1:9" x14ac:dyDescent="0.45">
      <c r="A57" s="30" t="s">
        <v>14</v>
      </c>
      <c r="B57" s="30">
        <v>80</v>
      </c>
      <c r="C57" s="43">
        <v>67.857142857142804</v>
      </c>
      <c r="D57" s="25" t="str">
        <f>IF('Domain repres. assessment'!C57="Completely","✓",IF('Domain repres. assessment'!C57="Mostly","✓",IF('Domain repres. assessment'!C57="Not applicable","N/A",IF('Domain repres. assessment'!C57="","","✕"))))</f>
        <v/>
      </c>
      <c r="E57" s="49"/>
      <c r="F57" s="49"/>
      <c r="G57" s="49"/>
      <c r="H57" s="49"/>
      <c r="I57" s="49"/>
    </row>
    <row r="58" spans="1:9" x14ac:dyDescent="0.45">
      <c r="A58" s="30" t="s">
        <v>15</v>
      </c>
      <c r="B58" s="30">
        <v>80</v>
      </c>
      <c r="C58" s="43">
        <v>67.857142857142804</v>
      </c>
      <c r="D58" s="25" t="str">
        <f>IF('Domain repres. assessment'!C58="Completely","✓",IF('Domain repres. assessment'!C58="Mostly","✓",IF('Domain repres. assessment'!C58="Not applicable","N/A",IF('Domain repres. assessment'!C58="","","✕"))))</f>
        <v/>
      </c>
      <c r="E58" s="49"/>
      <c r="F58" s="49"/>
      <c r="G58" s="49"/>
      <c r="H58" s="49"/>
      <c r="I58" s="49"/>
    </row>
    <row r="59" spans="1:9" x14ac:dyDescent="0.45">
      <c r="A59" s="125" t="s">
        <v>58</v>
      </c>
      <c r="B59" s="126"/>
      <c r="C59" s="126"/>
      <c r="D59" s="126"/>
      <c r="E59" s="49"/>
      <c r="F59" s="49"/>
      <c r="G59" s="49"/>
      <c r="H59" s="49"/>
      <c r="I59" s="49"/>
    </row>
    <row r="60" spans="1:9" x14ac:dyDescent="0.45">
      <c r="A60" s="30" t="s">
        <v>45</v>
      </c>
      <c r="B60" s="30" t="s">
        <v>5</v>
      </c>
      <c r="C60" s="43" t="s">
        <v>5</v>
      </c>
      <c r="D60" s="25" t="str">
        <f>IF('Domain repres. assessment'!C60="Completely","✓",IF('Domain repres. assessment'!C60="Mostly","✓",IF('Domain repres. assessment'!C60="Not applicable","N/A",IF('Domain repres. assessment'!C60="","","✕"))))</f>
        <v/>
      </c>
      <c r="E60" s="49"/>
      <c r="F60" s="49"/>
      <c r="G60" s="49"/>
      <c r="H60" s="49"/>
      <c r="I60" s="49"/>
    </row>
    <row r="61" spans="1:9" ht="14.45" customHeight="1" x14ac:dyDescent="0.45">
      <c r="A61" s="127" t="s">
        <v>64</v>
      </c>
      <c r="B61" s="127"/>
      <c r="C61" s="127"/>
      <c r="D61" s="127"/>
    </row>
    <row r="62" spans="1:9" x14ac:dyDescent="0.45">
      <c r="A62" s="123" t="s">
        <v>56</v>
      </c>
      <c r="B62" s="123"/>
      <c r="C62" s="123"/>
      <c r="D62" s="123"/>
    </row>
    <row r="63" spans="1:9" ht="14.45" customHeight="1" x14ac:dyDescent="0.45">
      <c r="A63" s="30" t="s">
        <v>27</v>
      </c>
      <c r="B63" s="30" t="s">
        <v>5</v>
      </c>
      <c r="C63" s="30" t="s">
        <v>5</v>
      </c>
      <c r="D63" s="25" t="str">
        <f>IF('Domain repres. assessment'!C63="Completely","✓",IF('Domain repres. assessment'!C63="Mostly","✓",IF('Domain repres. assessment'!C63="Not applicable","N/A",IF('Domain repres. assessment'!C63="","","✕"))))</f>
        <v/>
      </c>
      <c r="E63" s="47"/>
      <c r="F63" s="47"/>
      <c r="G63" s="47"/>
      <c r="H63" s="47"/>
      <c r="I63" s="47"/>
    </row>
    <row r="64" spans="1:9" ht="14.45" customHeight="1" x14ac:dyDescent="0.45">
      <c r="A64" s="30" t="s">
        <v>28</v>
      </c>
      <c r="B64" s="30">
        <v>54</v>
      </c>
      <c r="C64" s="43">
        <v>30.357142857142801</v>
      </c>
      <c r="D64" s="25" t="str">
        <f>IF('Domain repres. assessment'!C64="Completely","✓",IF('Domain repres. assessment'!C64="Mostly","✓",IF('Domain repres. assessment'!C64="Not applicable","N/A",IF('Domain repres. assessment'!C64="","","✕"))))</f>
        <v/>
      </c>
      <c r="E64" s="47"/>
      <c r="F64" s="47"/>
      <c r="G64" s="47"/>
      <c r="H64" s="47"/>
      <c r="I64" s="47"/>
    </row>
    <row r="65" spans="1:9" x14ac:dyDescent="0.45">
      <c r="A65" s="123" t="s">
        <v>57</v>
      </c>
      <c r="B65" s="123"/>
      <c r="C65" s="123"/>
      <c r="D65" s="123"/>
      <c r="E65" s="47"/>
      <c r="F65" s="47"/>
      <c r="G65" s="47"/>
      <c r="H65" s="47"/>
      <c r="I65" s="47"/>
    </row>
    <row r="66" spans="1:9" x14ac:dyDescent="0.45">
      <c r="A66" s="30" t="s">
        <v>35</v>
      </c>
      <c r="B66" s="30" t="s">
        <v>5</v>
      </c>
      <c r="C66" s="43" t="s">
        <v>5</v>
      </c>
      <c r="D66" s="25" t="str">
        <f>IF('Domain repres. assessment'!C66="Completely","✓",IF('Domain repres. assessment'!C66="Mostly","✓",IF('Domain repres. assessment'!C66="Not applicable","N/A",IF('Domain repres. assessment'!C66="","","✕"))))</f>
        <v/>
      </c>
      <c r="E66" s="47"/>
      <c r="F66" s="47"/>
      <c r="G66" s="47"/>
      <c r="H66" s="47"/>
      <c r="I66" s="47"/>
    </row>
    <row r="67" spans="1:9" x14ac:dyDescent="0.45">
      <c r="A67" s="30" t="s">
        <v>36</v>
      </c>
      <c r="B67" s="30" t="s">
        <v>5</v>
      </c>
      <c r="C67" s="43" t="s">
        <v>5</v>
      </c>
      <c r="D67" s="25" t="str">
        <f>IF('Domain repres. assessment'!C67="Completely","✓",IF('Domain repres. assessment'!C67="Mostly","✓",IF('Domain repres. assessment'!C67="Not applicable","N/A",IF('Domain repres. assessment'!C67="","","✕"))))</f>
        <v/>
      </c>
      <c r="E67" s="47"/>
      <c r="F67" s="47"/>
      <c r="G67" s="47"/>
      <c r="H67" s="47"/>
      <c r="I67" s="47"/>
    </row>
    <row r="68" spans="1:9" x14ac:dyDescent="0.45">
      <c r="A68" s="30" t="s">
        <v>37</v>
      </c>
      <c r="B68" s="30" t="s">
        <v>5</v>
      </c>
      <c r="C68" s="30" t="s">
        <v>5</v>
      </c>
      <c r="D68" s="25" t="str">
        <f>IF('Domain repres. assessment'!C68="Completely","✓",IF('Domain repres. assessment'!C68="Mostly","✓",IF('Domain repres. assessment'!C68="Not applicable","N/A",IF('Domain repres. assessment'!C68="","","✕"))))</f>
        <v/>
      </c>
      <c r="E68" s="47"/>
      <c r="F68" s="47"/>
      <c r="G68" s="47"/>
      <c r="H68" s="47"/>
      <c r="I68" s="47"/>
    </row>
    <row r="69" spans="1:9" x14ac:dyDescent="0.45">
      <c r="A69" s="123" t="s">
        <v>58</v>
      </c>
      <c r="B69" s="123"/>
      <c r="C69" s="123"/>
      <c r="D69" s="123"/>
      <c r="E69" s="47"/>
      <c r="F69" s="47"/>
      <c r="G69" s="47"/>
      <c r="H69" s="47"/>
      <c r="I69" s="47"/>
    </row>
    <row r="70" spans="1:9" x14ac:dyDescent="0.45">
      <c r="A70" s="30" t="s">
        <v>46</v>
      </c>
      <c r="B70" s="30" t="s">
        <v>5</v>
      </c>
      <c r="C70" s="30" t="s">
        <v>5</v>
      </c>
      <c r="D70" s="25" t="str">
        <f>IF('Domain repres. assessment'!C70="Completely","✓",IF('Domain repres. assessment'!C70="Mostly","✓",IF('Domain repres. assessment'!C70="Not applicable","N/A",IF('Domain repres. assessment'!C70="","","✕"))))</f>
        <v/>
      </c>
      <c r="E70" s="47"/>
      <c r="F70" s="47"/>
      <c r="G70" s="47"/>
      <c r="H70" s="47"/>
      <c r="I70" s="47"/>
    </row>
    <row r="71" spans="1:9" x14ac:dyDescent="0.45">
      <c r="A71" s="30" t="s">
        <v>47</v>
      </c>
      <c r="B71" s="30" t="s">
        <v>5</v>
      </c>
      <c r="C71" s="30" t="s">
        <v>5</v>
      </c>
      <c r="D71" s="25" t="str">
        <f>IF('Domain repres. assessment'!C71="Completely","✓",IF('Domain repres. assessment'!C71="Mostly","✓",IF('Domain repres. assessment'!C71="Not applicable","N/A",IF('Domain repres. assessment'!C71="","","✕"))))</f>
        <v/>
      </c>
      <c r="E71" s="47"/>
      <c r="F71" s="47"/>
      <c r="G71" s="47"/>
      <c r="H71" s="47"/>
      <c r="I71" s="47"/>
    </row>
    <row r="72" spans="1:9" x14ac:dyDescent="0.45">
      <c r="E72" s="47"/>
      <c r="F72" s="47"/>
      <c r="G72" s="47"/>
      <c r="H72" s="47"/>
      <c r="I72" s="47"/>
    </row>
    <row r="73" spans="1:9" x14ac:dyDescent="0.45">
      <c r="E73" s="47"/>
      <c r="F73" s="47"/>
      <c r="G73" s="47"/>
      <c r="H73" s="47"/>
      <c r="I73" s="47"/>
    </row>
    <row r="74" spans="1:9" x14ac:dyDescent="0.45">
      <c r="E74" s="47"/>
      <c r="F74" s="47"/>
      <c r="G74" s="47"/>
      <c r="H74" s="47"/>
      <c r="I74" s="47"/>
    </row>
    <row r="75" spans="1:9" x14ac:dyDescent="0.45">
      <c r="E75" s="47"/>
      <c r="F75" s="47"/>
      <c r="G75" s="47"/>
      <c r="H75" s="47"/>
      <c r="I75" s="47"/>
    </row>
    <row r="76" spans="1:9" x14ac:dyDescent="0.45">
      <c r="E76" s="47"/>
      <c r="F76" s="47"/>
      <c r="G76" s="47"/>
      <c r="H76" s="47"/>
      <c r="I76" s="47"/>
    </row>
    <row r="77" spans="1:9" x14ac:dyDescent="0.45">
      <c r="E77" s="47"/>
      <c r="F77" s="47"/>
      <c r="G77" s="47"/>
      <c r="H77" s="47"/>
      <c r="I77" s="47"/>
    </row>
    <row r="78" spans="1:9" x14ac:dyDescent="0.45">
      <c r="E78" s="47"/>
      <c r="F78" s="47"/>
      <c r="G78" s="47"/>
      <c r="H78" s="47"/>
      <c r="I78" s="47"/>
    </row>
    <row r="79" spans="1:9" x14ac:dyDescent="0.45">
      <c r="E79" s="47"/>
      <c r="F79" s="47"/>
      <c r="G79" s="47"/>
      <c r="H79" s="47"/>
      <c r="I79" s="47"/>
    </row>
  </sheetData>
  <sheetProtection algorithmName="SHA-512" hashValue="hPXz6Q1M3kDyUZrGmtD8hge0eBEwrPWbduQJKOj3TzANF3keb/5Rek/K61qQB7TXPtF5gaw3dsKfCR49iQbX0g==" saltValue="BdfYnqJChJ0+J0UC3QIiYw==" spinCount="100000" sheet="1" objects="1" scenarios="1"/>
  <mergeCells count="30">
    <mergeCell ref="A23:D23"/>
    <mergeCell ref="A28:D28"/>
    <mergeCell ref="A34:D34"/>
    <mergeCell ref="A1:D1"/>
    <mergeCell ref="A3:D3"/>
    <mergeCell ref="A4:D4"/>
    <mergeCell ref="A6:D6"/>
    <mergeCell ref="A9:D9"/>
    <mergeCell ref="A15:D15"/>
    <mergeCell ref="A16:D16"/>
    <mergeCell ref="A35:D35"/>
    <mergeCell ref="A37:D37"/>
    <mergeCell ref="A40:D40"/>
    <mergeCell ref="A42:D42"/>
    <mergeCell ref="A43:D43"/>
    <mergeCell ref="A45:D45"/>
    <mergeCell ref="A51:D51"/>
    <mergeCell ref="A53:D53"/>
    <mergeCell ref="A54:D54"/>
    <mergeCell ref="A56:D56"/>
    <mergeCell ref="A69:D69"/>
    <mergeCell ref="A59:D59"/>
    <mergeCell ref="A61:D61"/>
    <mergeCell ref="A62:D62"/>
    <mergeCell ref="A65:D65"/>
    <mergeCell ref="F3:H3"/>
    <mergeCell ref="G4:H4"/>
    <mergeCell ref="G5:H5"/>
    <mergeCell ref="G6:H6"/>
    <mergeCell ref="J3:Q20"/>
  </mergeCells>
  <pageMargins left="0.7" right="0.7" top="0.75" bottom="0.75" header="0.3" footer="0.3"/>
  <pageSetup paperSize="9" orientation="landscape"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F8A52-81E8-4874-9921-463702042192}">
  <sheetPr codeName="Blad8"/>
  <dimension ref="A1:Q54"/>
  <sheetViews>
    <sheetView zoomScaleNormal="100" workbookViewId="0">
      <selection activeCell="J2" sqref="J2:Q20"/>
    </sheetView>
  </sheetViews>
  <sheetFormatPr defaultColWidth="8.86328125" defaultRowHeight="14.25" x14ac:dyDescent="0.45"/>
  <cols>
    <col min="1" max="1" width="11.796875" style="37" customWidth="1"/>
    <col min="2" max="3" width="20" style="37" customWidth="1"/>
    <col min="4" max="4" width="25.796875" style="37" customWidth="1"/>
    <col min="5" max="16384" width="8.86328125" style="37"/>
  </cols>
  <sheetData>
    <row r="1" spans="1:17" ht="25.25" customHeight="1" x14ac:dyDescent="0.45">
      <c r="A1" s="117" t="s">
        <v>163</v>
      </c>
      <c r="B1" s="117"/>
      <c r="C1" s="117"/>
      <c r="D1" s="117"/>
    </row>
    <row r="2" spans="1:17" ht="14.45" customHeight="1" x14ac:dyDescent="0.45">
      <c r="A2" s="36" t="s">
        <v>0</v>
      </c>
      <c r="B2" s="36" t="s">
        <v>1</v>
      </c>
      <c r="C2" s="36" t="s">
        <v>2</v>
      </c>
      <c r="D2" s="36" t="s">
        <v>158</v>
      </c>
      <c r="E2" s="51"/>
      <c r="F2" s="133" t="s">
        <v>156</v>
      </c>
      <c r="G2" s="134"/>
      <c r="H2" s="135"/>
      <c r="J2" s="99" t="s">
        <v>176</v>
      </c>
      <c r="K2" s="100"/>
      <c r="L2" s="100"/>
      <c r="M2" s="100"/>
      <c r="N2" s="100"/>
      <c r="O2" s="100"/>
      <c r="P2" s="100"/>
      <c r="Q2" s="101"/>
    </row>
    <row r="3" spans="1:17" x14ac:dyDescent="0.45">
      <c r="A3" s="129" t="s">
        <v>49</v>
      </c>
      <c r="B3" s="132"/>
      <c r="C3" s="132"/>
      <c r="D3" s="132"/>
      <c r="E3" s="51"/>
      <c r="F3" s="42" t="s">
        <v>157</v>
      </c>
      <c r="G3" s="136" t="s">
        <v>158</v>
      </c>
      <c r="H3" s="137"/>
      <c r="I3" s="41"/>
      <c r="J3" s="102"/>
      <c r="K3" s="103"/>
      <c r="L3" s="103"/>
      <c r="M3" s="103"/>
      <c r="N3" s="103"/>
      <c r="O3" s="103"/>
      <c r="P3" s="103"/>
      <c r="Q3" s="104"/>
    </row>
    <row r="4" spans="1:17" ht="14.45" customHeight="1" x14ac:dyDescent="0.45">
      <c r="A4" s="30" t="s">
        <v>3</v>
      </c>
      <c r="B4" s="30">
        <v>97</v>
      </c>
      <c r="C4" s="43">
        <v>96.428571428571402</v>
      </c>
      <c r="D4" s="25" t="str">
        <f>IF('Maturity repres. assessment'!C4="Completely","✓",IF('Maturity repres. assessment'!C4="Mostly","✓",IF('Maturity repres. assessment'!C4="Not applicable","N/A",IF('Maturity repres. assessment'!C4="","","✕"))))</f>
        <v/>
      </c>
      <c r="E4" s="34"/>
      <c r="F4" s="45" t="s">
        <v>160</v>
      </c>
      <c r="G4" s="138" t="s">
        <v>159</v>
      </c>
      <c r="H4" s="139"/>
      <c r="I4" s="41"/>
      <c r="J4" s="102"/>
      <c r="K4" s="103"/>
      <c r="L4" s="103"/>
      <c r="M4" s="103"/>
      <c r="N4" s="103"/>
      <c r="O4" s="103"/>
      <c r="P4" s="103"/>
      <c r="Q4" s="104"/>
    </row>
    <row r="5" spans="1:17" x14ac:dyDescent="0.45">
      <c r="A5" s="30" t="s">
        <v>4</v>
      </c>
      <c r="B5" s="30">
        <v>102</v>
      </c>
      <c r="C5" s="43">
        <v>100</v>
      </c>
      <c r="D5" s="25" t="str">
        <f>IF('Maturity repres. assessment'!C5="Completely","✓",IF('Maturity repres. assessment'!C5="Mostly","✓",IF('Maturity repres. assessment'!C5="Not applicable","N/A",IF('Maturity repres. assessment'!C5="","","✕"))))</f>
        <v/>
      </c>
      <c r="E5" s="34"/>
      <c r="F5" s="77" t="s">
        <v>165</v>
      </c>
      <c r="G5" s="140" t="s">
        <v>161</v>
      </c>
      <c r="H5" s="141"/>
      <c r="I5" s="41"/>
      <c r="J5" s="102"/>
      <c r="K5" s="103"/>
      <c r="L5" s="103"/>
      <c r="M5" s="103"/>
      <c r="N5" s="103"/>
      <c r="O5" s="103"/>
      <c r="P5" s="103"/>
      <c r="Q5" s="104"/>
    </row>
    <row r="6" spans="1:17" x14ac:dyDescent="0.45">
      <c r="A6" s="30" t="s">
        <v>6</v>
      </c>
      <c r="B6" s="34">
        <v>95</v>
      </c>
      <c r="C6" s="46">
        <v>83.928571428571402</v>
      </c>
      <c r="D6" s="25" t="str">
        <f>IF('Maturity repres. assessment'!C6="Completely","✓",IF('Maturity repres. assessment'!C6="Mostly","✓",IF('Maturity repres. assessment'!C6="Not applicable","N/A",IF('Maturity repres. assessment'!C6="","","✕"))))</f>
        <v/>
      </c>
      <c r="E6" s="47"/>
      <c r="F6" s="41"/>
      <c r="G6" s="41"/>
      <c r="H6" s="41"/>
      <c r="I6" s="41"/>
      <c r="J6" s="102"/>
      <c r="K6" s="103"/>
      <c r="L6" s="103"/>
      <c r="M6" s="103"/>
      <c r="N6" s="103"/>
      <c r="O6" s="103"/>
      <c r="P6" s="103"/>
      <c r="Q6" s="104"/>
    </row>
    <row r="7" spans="1:17" x14ac:dyDescent="0.45">
      <c r="A7" s="30" t="s">
        <v>7</v>
      </c>
      <c r="B7" s="30">
        <v>85</v>
      </c>
      <c r="C7" s="43">
        <v>75</v>
      </c>
      <c r="D7" s="25" t="str">
        <f>IF('Maturity repres. assessment'!C7="Completely","✓",IF('Maturity repres. assessment'!C7="Mostly","✓",IF('Maturity repres. assessment'!C7="Not applicable","N/A",IF('Maturity repres. assessment'!C7="","","✕"))))</f>
        <v/>
      </c>
      <c r="E7" s="47"/>
      <c r="F7" s="41"/>
      <c r="G7" s="41"/>
      <c r="H7" s="41"/>
      <c r="I7" s="41"/>
      <c r="J7" s="102"/>
      <c r="K7" s="103"/>
      <c r="L7" s="103"/>
      <c r="M7" s="103"/>
      <c r="N7" s="103"/>
      <c r="O7" s="103"/>
      <c r="P7" s="103"/>
      <c r="Q7" s="104"/>
    </row>
    <row r="8" spans="1:17" x14ac:dyDescent="0.45">
      <c r="A8" s="30" t="s">
        <v>8</v>
      </c>
      <c r="B8" s="30">
        <v>96</v>
      </c>
      <c r="C8" s="43">
        <v>91.071428571428498</v>
      </c>
      <c r="D8" s="25" t="str">
        <f>IF('Maturity repres. assessment'!C8="Completely","✓",IF('Maturity repres. assessment'!C8="Mostly","✓",IF('Maturity repres. assessment'!C8="Not applicable","N/A",IF('Maturity repres. assessment'!C8="","","✕"))))</f>
        <v/>
      </c>
      <c r="E8" s="47"/>
      <c r="F8" s="41"/>
      <c r="G8" s="41"/>
      <c r="H8" s="41"/>
      <c r="I8" s="41"/>
      <c r="J8" s="102"/>
      <c r="K8" s="103"/>
      <c r="L8" s="103"/>
      <c r="M8" s="103"/>
      <c r="N8" s="103"/>
      <c r="O8" s="103"/>
      <c r="P8" s="103"/>
      <c r="Q8" s="104"/>
    </row>
    <row r="9" spans="1:17" x14ac:dyDescent="0.45">
      <c r="A9" s="30" t="s">
        <v>9</v>
      </c>
      <c r="B9" s="30">
        <v>90</v>
      </c>
      <c r="C9" s="43">
        <v>78.571428571428498</v>
      </c>
      <c r="D9" s="25" t="str">
        <f>IF('Maturity repres. assessment'!C9="Completely","✓",IF('Maturity repres. assessment'!C9="Mostly","✓",IF('Maturity repres. assessment'!C9="Not applicable","N/A",IF('Maturity repres. assessment'!C9="","","✕"))))</f>
        <v/>
      </c>
      <c r="E9" s="47"/>
      <c r="F9" s="41"/>
      <c r="G9" s="41"/>
      <c r="H9" s="41"/>
      <c r="I9" s="41"/>
      <c r="J9" s="102"/>
      <c r="K9" s="103"/>
      <c r="L9" s="103"/>
      <c r="M9" s="103"/>
      <c r="N9" s="103"/>
      <c r="O9" s="103"/>
      <c r="P9" s="103"/>
      <c r="Q9" s="104"/>
    </row>
    <row r="10" spans="1:17" x14ac:dyDescent="0.45">
      <c r="A10" s="30" t="s">
        <v>10</v>
      </c>
      <c r="B10" s="30">
        <v>95</v>
      </c>
      <c r="C10" s="43">
        <v>83.928571428571402</v>
      </c>
      <c r="D10" s="25" t="str">
        <f>IF('Maturity repres. assessment'!C10="Completely","✓",IF('Maturity repres. assessment'!C10="Mostly","✓",IF('Maturity repres. assessment'!C10="Not applicable","N/A",IF('Maturity repres. assessment'!C10="","","✕"))))</f>
        <v/>
      </c>
      <c r="E10" s="47"/>
      <c r="F10" s="41"/>
      <c r="G10" s="41"/>
      <c r="H10" s="41"/>
      <c r="I10" s="41"/>
      <c r="J10" s="102"/>
      <c r="K10" s="103"/>
      <c r="L10" s="103"/>
      <c r="M10" s="103"/>
      <c r="N10" s="103"/>
      <c r="O10" s="103"/>
      <c r="P10" s="103"/>
      <c r="Q10" s="104"/>
    </row>
    <row r="11" spans="1:17" x14ac:dyDescent="0.45">
      <c r="A11" s="30" t="s">
        <v>11</v>
      </c>
      <c r="B11" s="30">
        <v>96</v>
      </c>
      <c r="C11" s="43">
        <v>91.071428571428498</v>
      </c>
      <c r="D11" s="25" t="str">
        <f>IF('Maturity repres. assessment'!C11="Completely","✓",IF('Maturity repres. assessment'!C11="Mostly","✓",IF('Maturity repres. assessment'!C11="Not applicable","N/A",IF('Maturity repres. assessment'!C11="","","✕"))))</f>
        <v/>
      </c>
      <c r="E11" s="47"/>
      <c r="F11" s="41"/>
      <c r="G11" s="41"/>
      <c r="H11" s="41"/>
      <c r="I11" s="41"/>
      <c r="J11" s="102"/>
      <c r="K11" s="103"/>
      <c r="L11" s="103"/>
      <c r="M11" s="103"/>
      <c r="N11" s="103"/>
      <c r="O11" s="103"/>
      <c r="P11" s="103"/>
      <c r="Q11" s="104"/>
    </row>
    <row r="12" spans="1:17" x14ac:dyDescent="0.45">
      <c r="A12" s="129" t="s">
        <v>54</v>
      </c>
      <c r="B12" s="132"/>
      <c r="C12" s="132"/>
      <c r="D12" s="132"/>
      <c r="E12" s="51"/>
      <c r="F12" s="41"/>
      <c r="G12" s="41"/>
      <c r="H12" s="41"/>
      <c r="I12" s="41"/>
      <c r="J12" s="102"/>
      <c r="K12" s="103"/>
      <c r="L12" s="103"/>
      <c r="M12" s="103"/>
      <c r="N12" s="103"/>
      <c r="O12" s="103"/>
      <c r="P12" s="103"/>
      <c r="Q12" s="104"/>
    </row>
    <row r="13" spans="1:17" x14ac:dyDescent="0.45">
      <c r="A13" s="30" t="s">
        <v>12</v>
      </c>
      <c r="B13" s="30">
        <v>79</v>
      </c>
      <c r="C13" s="43">
        <v>60.714285714285701</v>
      </c>
      <c r="D13" s="25" t="str">
        <f>IF('Maturity repres. assessment'!C13="Completely","✓",IF('Maturity repres. assessment'!C13="Mostly","✓",IF('Maturity repres. assessment'!C13="Not applicable","N/A",IF('Maturity repres. assessment'!C13="","","✕"))))</f>
        <v/>
      </c>
      <c r="E13" s="47"/>
      <c r="F13" s="41"/>
      <c r="G13" s="41"/>
      <c r="H13" s="41"/>
      <c r="I13" s="41"/>
      <c r="J13" s="102"/>
      <c r="K13" s="103"/>
      <c r="L13" s="103"/>
      <c r="M13" s="103"/>
      <c r="N13" s="103"/>
      <c r="O13" s="103"/>
      <c r="P13" s="103"/>
      <c r="Q13" s="104"/>
    </row>
    <row r="14" spans="1:17" x14ac:dyDescent="0.45">
      <c r="A14" s="30" t="s">
        <v>13</v>
      </c>
      <c r="B14" s="30">
        <v>80</v>
      </c>
      <c r="C14" s="43">
        <v>67.857142857142804</v>
      </c>
      <c r="D14" s="25" t="str">
        <f>IF('Maturity repres. assessment'!C14="Completely","✓",IF('Maturity repres. assessment'!C14="Mostly","✓",IF('Maturity repres. assessment'!C14="Not applicable","N/A",IF('Maturity repres. assessment'!C14="","","✕"))))</f>
        <v/>
      </c>
      <c r="E14" s="47"/>
      <c r="F14" s="41"/>
      <c r="G14" s="41"/>
      <c r="H14" s="41"/>
      <c r="I14" s="41"/>
      <c r="J14" s="102"/>
      <c r="K14" s="103"/>
      <c r="L14" s="103"/>
      <c r="M14" s="103"/>
      <c r="N14" s="103"/>
      <c r="O14" s="103"/>
      <c r="P14" s="103"/>
      <c r="Q14" s="104"/>
    </row>
    <row r="15" spans="1:17" x14ac:dyDescent="0.45">
      <c r="A15" s="30" t="s">
        <v>14</v>
      </c>
      <c r="B15" s="30">
        <v>80</v>
      </c>
      <c r="C15" s="43">
        <v>67.857142857142804</v>
      </c>
      <c r="D15" s="25" t="str">
        <f>IF('Maturity repres. assessment'!C15="Completely","✓",IF('Maturity repres. assessment'!C15="Mostly","✓",IF('Maturity repres. assessment'!C15="Not applicable","N/A",IF('Maturity repres. assessment'!C15="","","✕"))))</f>
        <v/>
      </c>
      <c r="E15" s="47"/>
      <c r="F15" s="41"/>
      <c r="G15" s="41"/>
      <c r="H15" s="41"/>
      <c r="I15" s="41"/>
      <c r="J15" s="102"/>
      <c r="K15" s="103"/>
      <c r="L15" s="103"/>
      <c r="M15" s="103"/>
      <c r="N15" s="103"/>
      <c r="O15" s="103"/>
      <c r="P15" s="103"/>
      <c r="Q15" s="104"/>
    </row>
    <row r="16" spans="1:17" x14ac:dyDescent="0.45">
      <c r="A16" s="30" t="s">
        <v>15</v>
      </c>
      <c r="B16" s="30">
        <v>80</v>
      </c>
      <c r="C16" s="43">
        <v>67.857142857142804</v>
      </c>
      <c r="D16" s="25" t="str">
        <f>IF('Maturity repres. assessment'!C16="Completely","✓",IF('Maturity repres. assessment'!C16="Mostly","✓",IF('Maturity repres. assessment'!C16="Not applicable","N/A",IF('Maturity repres. assessment'!C16="","","✕"))))</f>
        <v/>
      </c>
      <c r="E16" s="47"/>
      <c r="F16" s="41"/>
      <c r="G16" s="41"/>
      <c r="H16" s="41"/>
      <c r="I16" s="41"/>
      <c r="J16" s="102"/>
      <c r="K16" s="103"/>
      <c r="L16" s="103"/>
      <c r="M16" s="103"/>
      <c r="N16" s="103"/>
      <c r="O16" s="103"/>
      <c r="P16" s="103"/>
      <c r="Q16" s="104"/>
    </row>
    <row r="17" spans="1:17" x14ac:dyDescent="0.45">
      <c r="A17" s="30" t="s">
        <v>16</v>
      </c>
      <c r="B17" s="30">
        <v>75</v>
      </c>
      <c r="C17" s="43">
        <v>57.142857142857103</v>
      </c>
      <c r="D17" s="25" t="str">
        <f>IF('Maturity repres. assessment'!C17="Completely","✓",IF('Maturity repres. assessment'!C17="Mostly","✓",IF('Maturity repres. assessment'!C17="Not applicable","N/A",IF('Maturity repres. assessment'!C17="","","✕"))))</f>
        <v/>
      </c>
      <c r="E17" s="47"/>
      <c r="F17" s="41"/>
      <c r="G17" s="41"/>
      <c r="H17" s="41"/>
      <c r="I17" s="41"/>
      <c r="J17" s="102"/>
      <c r="K17" s="103"/>
      <c r="L17" s="103"/>
      <c r="M17" s="103"/>
      <c r="N17" s="103"/>
      <c r="O17" s="103"/>
      <c r="P17" s="103"/>
      <c r="Q17" s="104"/>
    </row>
    <row r="18" spans="1:17" x14ac:dyDescent="0.45">
      <c r="A18" s="129" t="s">
        <v>50</v>
      </c>
      <c r="B18" s="132"/>
      <c r="C18" s="132"/>
      <c r="D18" s="132"/>
      <c r="E18" s="51"/>
      <c r="F18" s="51"/>
      <c r="G18" s="51"/>
      <c r="H18" s="51"/>
      <c r="I18" s="51"/>
      <c r="J18" s="102"/>
      <c r="K18" s="103"/>
      <c r="L18" s="103"/>
      <c r="M18" s="103"/>
      <c r="N18" s="103"/>
      <c r="O18" s="103"/>
      <c r="P18" s="103"/>
      <c r="Q18" s="104"/>
    </row>
    <row r="19" spans="1:17" ht="14.45" customHeight="1" x14ac:dyDescent="0.45">
      <c r="A19" s="30" t="s">
        <v>17</v>
      </c>
      <c r="B19" s="30">
        <v>68</v>
      </c>
      <c r="C19" s="43">
        <v>50</v>
      </c>
      <c r="D19" s="25" t="str">
        <f>IF('Maturity repres. assessment'!C19="Completely","✓",IF('Maturity repres. assessment'!C19="Mostly","✓",IF('Maturity repres. assessment'!C19="Not applicable","N/A",IF('Maturity repres. assessment'!C19="","","✕"))))</f>
        <v/>
      </c>
      <c r="E19" s="47"/>
      <c r="F19" s="47"/>
      <c r="G19" s="47"/>
      <c r="H19" s="47"/>
      <c r="I19" s="47"/>
      <c r="J19" s="102"/>
      <c r="K19" s="103"/>
      <c r="L19" s="103"/>
      <c r="M19" s="103"/>
      <c r="N19" s="103"/>
      <c r="O19" s="103"/>
      <c r="P19" s="103"/>
      <c r="Q19" s="104"/>
    </row>
    <row r="20" spans="1:17" ht="14.45" customHeight="1" x14ac:dyDescent="0.45">
      <c r="A20" s="30" t="s">
        <v>18</v>
      </c>
      <c r="B20" s="30">
        <v>72</v>
      </c>
      <c r="C20" s="43">
        <v>53.571428571428498</v>
      </c>
      <c r="D20" s="25" t="str">
        <f>IF('Maturity repres. assessment'!C20="Completely","✓",IF('Maturity repres. assessment'!C20="Mostly","✓",IF('Maturity repres. assessment'!C20="Not applicable","N/A",IF('Maturity repres. assessment'!C20="","","✕"))))</f>
        <v/>
      </c>
      <c r="E20" s="47"/>
      <c r="F20" s="47"/>
      <c r="G20" s="47"/>
      <c r="H20" s="47"/>
      <c r="I20" s="47"/>
      <c r="J20" s="105"/>
      <c r="K20" s="106"/>
      <c r="L20" s="106"/>
      <c r="M20" s="106"/>
      <c r="N20" s="106"/>
      <c r="O20" s="106"/>
      <c r="P20" s="106"/>
      <c r="Q20" s="107"/>
    </row>
    <row r="21" spans="1:17" x14ac:dyDescent="0.45">
      <c r="A21" s="30" t="s">
        <v>19</v>
      </c>
      <c r="B21" s="30">
        <v>54</v>
      </c>
      <c r="C21" s="43">
        <v>30.357142857142801</v>
      </c>
      <c r="D21" s="25" t="str">
        <f>IF('Maturity repres. assessment'!C21="Completely","✓",IF('Maturity repres. assessment'!C21="Mostly","✓",IF('Maturity repres. assessment'!C21="Not applicable","N/A",IF('Maturity repres. assessment'!C21="","","✕"))))</f>
        <v/>
      </c>
      <c r="E21" s="47"/>
      <c r="F21" s="47"/>
      <c r="G21" s="47"/>
      <c r="H21" s="47"/>
      <c r="I21" s="47"/>
      <c r="J21" s="47"/>
    </row>
    <row r="22" spans="1:17" x14ac:dyDescent="0.45">
      <c r="A22" s="30" t="s">
        <v>20</v>
      </c>
      <c r="B22" s="30">
        <v>62</v>
      </c>
      <c r="C22" s="43">
        <v>42.857142857142797</v>
      </c>
      <c r="D22" s="25" t="str">
        <f>IF('Maturity repres. assessment'!C22="Completely","✓",IF('Maturity repres. assessment'!C22="Mostly","✓",IF('Maturity repres. assessment'!C22="Not applicable","N/A",IF('Maturity repres. assessment'!C22="","","✕"))))</f>
        <v/>
      </c>
      <c r="E22" s="47"/>
      <c r="F22" s="47"/>
      <c r="G22" s="47"/>
      <c r="H22" s="47"/>
      <c r="I22" s="47"/>
      <c r="J22" s="47"/>
    </row>
    <row r="23" spans="1:17" x14ac:dyDescent="0.45">
      <c r="A23" s="30" t="s">
        <v>21</v>
      </c>
      <c r="B23" s="30">
        <v>56</v>
      </c>
      <c r="C23" s="43">
        <v>35.714285714285701</v>
      </c>
      <c r="D23" s="25" t="str">
        <f>IF('Maturity repres. assessment'!C23="Completely","✓",IF('Maturity repres. assessment'!C23="Mostly","✓",IF('Maturity repres. assessment'!C23="Not applicable","N/A",IF('Maturity repres. assessment'!C23="","","✕"))))</f>
        <v/>
      </c>
      <c r="E23" s="47"/>
      <c r="F23" s="47"/>
      <c r="G23" s="47"/>
      <c r="H23" s="47"/>
      <c r="I23" s="47"/>
      <c r="J23" s="47"/>
    </row>
    <row r="24" spans="1:17" x14ac:dyDescent="0.45">
      <c r="A24" s="30" t="s">
        <v>22</v>
      </c>
      <c r="B24" s="34">
        <v>50</v>
      </c>
      <c r="C24" s="46">
        <v>21.428571428571399</v>
      </c>
      <c r="D24" s="25" t="str">
        <f>IF('Maturity repres. assessment'!C24="Completely","✓",IF('Maturity repres. assessment'!C24="Mostly","✓",IF('Maturity repres. assessment'!C24="Not applicable","N/A",IF('Maturity repres. assessment'!C24="","","✕"))))</f>
        <v/>
      </c>
      <c r="E24" s="47"/>
      <c r="F24" s="47"/>
      <c r="G24" s="47"/>
      <c r="H24" s="47"/>
      <c r="I24" s="47"/>
      <c r="J24" s="47"/>
    </row>
    <row r="25" spans="1:17" x14ac:dyDescent="0.45">
      <c r="A25" s="30" t="s">
        <v>23</v>
      </c>
      <c r="B25" s="30" t="s">
        <v>5</v>
      </c>
      <c r="C25" s="43" t="s">
        <v>5</v>
      </c>
      <c r="D25" s="25" t="str">
        <f>IF('Maturity repres. assessment'!C25="Completely","✓",IF('Maturity repres. assessment'!C25="Mostly","✓",IF('Maturity repres. assessment'!C25="Not applicable","N/A",IF('Maturity repres. assessment'!C25="","","✕"))))</f>
        <v/>
      </c>
      <c r="E25" s="47"/>
      <c r="F25" s="47"/>
      <c r="G25" s="47"/>
      <c r="H25" s="47"/>
      <c r="I25" s="47"/>
      <c r="J25" s="47"/>
    </row>
    <row r="26" spans="1:17" x14ac:dyDescent="0.45">
      <c r="A26" s="30" t="s">
        <v>24</v>
      </c>
      <c r="B26" s="30">
        <v>60</v>
      </c>
      <c r="C26" s="43">
        <v>39.285714285714199</v>
      </c>
      <c r="D26" s="25" t="str">
        <f>IF('Maturity repres. assessment'!C26="Completely","✓",IF('Maturity repres. assessment'!C26="Mostly","✓",IF('Maturity repres. assessment'!C26="Not applicable","N/A",IF('Maturity repres. assessment'!C26="","","✕"))))</f>
        <v/>
      </c>
      <c r="E26" s="47"/>
      <c r="F26" s="47"/>
      <c r="G26" s="47"/>
      <c r="H26" s="47"/>
      <c r="I26" s="47"/>
      <c r="J26" s="47"/>
    </row>
    <row r="27" spans="1:17" x14ac:dyDescent="0.45">
      <c r="A27" s="30" t="s">
        <v>25</v>
      </c>
      <c r="B27" s="34">
        <v>66</v>
      </c>
      <c r="C27" s="46">
        <v>46.428571428571402</v>
      </c>
      <c r="D27" s="25" t="str">
        <f>IF('Maturity repres. assessment'!C27="Completely","✓",IF('Maturity repres. assessment'!C27="Mostly","✓",IF('Maturity repres. assessment'!C27="Not applicable","N/A",IF('Maturity repres. assessment'!C27="","","✕"))))</f>
        <v/>
      </c>
      <c r="E27" s="47"/>
      <c r="F27" s="47"/>
      <c r="G27" s="47"/>
      <c r="H27" s="47"/>
      <c r="I27" s="47"/>
      <c r="J27" s="47"/>
    </row>
    <row r="28" spans="1:17" x14ac:dyDescent="0.45">
      <c r="A28" s="30" t="s">
        <v>26</v>
      </c>
      <c r="B28" s="30">
        <v>53</v>
      </c>
      <c r="C28" s="43">
        <v>25</v>
      </c>
      <c r="D28" s="25" t="str">
        <f>IF('Maturity repres. assessment'!C28="Completely","✓",IF('Maturity repres. assessment'!C28="Mostly","✓",IF('Maturity repres. assessment'!C28="Not applicable","N/A",IF('Maturity repres. assessment'!C28="","","✕"))))</f>
        <v/>
      </c>
      <c r="E28" s="47"/>
      <c r="F28" s="47"/>
      <c r="G28" s="47"/>
      <c r="H28" s="47"/>
      <c r="I28" s="47"/>
      <c r="J28" s="47"/>
    </row>
    <row r="29" spans="1:17" x14ac:dyDescent="0.45">
      <c r="A29" s="30" t="s">
        <v>27</v>
      </c>
      <c r="B29" s="30" t="s">
        <v>5</v>
      </c>
      <c r="C29" s="43" t="s">
        <v>5</v>
      </c>
      <c r="D29" s="25" t="str">
        <f>IF('Maturity repres. assessment'!C29="Completely","✓",IF('Maturity repres. assessment'!C29="Mostly","✓",IF('Maturity repres. assessment'!C29="Not applicable","N/A",IF('Maturity repres. assessment'!C29="","","✕"))))</f>
        <v/>
      </c>
      <c r="E29" s="47"/>
      <c r="F29" s="47"/>
      <c r="G29" s="47"/>
      <c r="H29" s="47"/>
      <c r="I29" s="47"/>
      <c r="J29" s="47"/>
    </row>
    <row r="30" spans="1:17" x14ac:dyDescent="0.45">
      <c r="A30" s="30" t="s">
        <v>28</v>
      </c>
      <c r="B30" s="30">
        <v>54</v>
      </c>
      <c r="C30" s="43">
        <v>30.357142857142801</v>
      </c>
      <c r="D30" s="25" t="str">
        <f>IF('Maturity repres. assessment'!C30="Completely","✓",IF('Maturity repres. assessment'!C30="Mostly","✓",IF('Maturity repres. assessment'!C30="Not applicable","N/A",IF('Maturity repres. assessment'!C30="","","✕"))))</f>
        <v/>
      </c>
      <c r="E30" s="47"/>
      <c r="F30" s="47"/>
      <c r="G30" s="47"/>
      <c r="H30" s="47"/>
      <c r="I30" s="47"/>
      <c r="J30" s="47"/>
    </row>
    <row r="31" spans="1:17" x14ac:dyDescent="0.45">
      <c r="A31" s="129" t="s">
        <v>51</v>
      </c>
      <c r="B31" s="130"/>
      <c r="C31" s="130"/>
      <c r="D31" s="130"/>
      <c r="E31" s="51"/>
      <c r="F31" s="51"/>
      <c r="G31" s="51"/>
      <c r="H31" s="51"/>
      <c r="I31" s="51"/>
      <c r="J31" s="51"/>
    </row>
    <row r="32" spans="1:17" x14ac:dyDescent="0.45">
      <c r="A32" s="30" t="s">
        <v>29</v>
      </c>
      <c r="B32" s="34">
        <v>47</v>
      </c>
      <c r="C32" s="46">
        <v>14.285714285714199</v>
      </c>
      <c r="D32" s="25" t="str">
        <f>IF('Maturity repres. assessment'!C32="Completely","✓",IF('Maturity repres. assessment'!C32="Mostly","✓",IF('Maturity repres. assessment'!C32="Not applicable","N/A",IF('Maturity repres. assessment'!C32="","","✕"))))</f>
        <v/>
      </c>
      <c r="E32" s="52"/>
      <c r="F32" s="52"/>
      <c r="G32" s="52"/>
      <c r="H32" s="52"/>
      <c r="I32" s="52"/>
      <c r="J32" s="52"/>
    </row>
    <row r="33" spans="1:10" x14ac:dyDescent="0.45">
      <c r="A33" s="30" t="s">
        <v>30</v>
      </c>
      <c r="B33" s="34">
        <v>42</v>
      </c>
      <c r="C33" s="46">
        <v>10.714285714285699</v>
      </c>
      <c r="D33" s="25" t="str">
        <f>IF('Maturity repres. assessment'!C33="Completely","✓",IF('Maturity repres. assessment'!C33="Mostly","✓",IF('Maturity repres. assessment'!C33="Not applicable","N/A",IF('Maturity repres. assessment'!C33="","","✕"))))</f>
        <v/>
      </c>
      <c r="E33" s="52"/>
      <c r="F33" s="52"/>
      <c r="G33" s="52"/>
      <c r="H33" s="52"/>
      <c r="I33" s="52"/>
      <c r="J33" s="52"/>
    </row>
    <row r="34" spans="1:10" x14ac:dyDescent="0.45">
      <c r="A34" s="30" t="s">
        <v>31</v>
      </c>
      <c r="B34" s="34" t="s">
        <v>5</v>
      </c>
      <c r="C34" s="46" t="s">
        <v>5</v>
      </c>
      <c r="D34" s="25" t="str">
        <f>IF('Maturity repres. assessment'!C34="Completely","✓",IF('Maturity repres. assessment'!C34="Mostly","✓",IF('Maturity repres. assessment'!C34="Not applicable","N/A",IF('Maturity repres. assessment'!C34="","","✕"))))</f>
        <v/>
      </c>
      <c r="E34" s="52"/>
      <c r="F34" s="52"/>
      <c r="G34" s="52"/>
      <c r="H34" s="52"/>
      <c r="I34" s="52"/>
      <c r="J34" s="52"/>
    </row>
    <row r="35" spans="1:10" x14ac:dyDescent="0.45">
      <c r="A35" s="30" t="s">
        <v>32</v>
      </c>
      <c r="B35" s="30" t="s">
        <v>5</v>
      </c>
      <c r="C35" s="43" t="s">
        <v>5</v>
      </c>
      <c r="D35" s="25" t="str">
        <f>IF('Maturity repres. assessment'!C35="Completely","✓",IF('Maturity repres. assessment'!C35="Mostly","✓",IF('Maturity repres. assessment'!C35="Not applicable","N/A",IF('Maturity repres. assessment'!C35="","","✕"))))</f>
        <v/>
      </c>
      <c r="E35" s="52"/>
      <c r="F35" s="52"/>
      <c r="G35" s="52"/>
      <c r="H35" s="52"/>
      <c r="I35" s="52"/>
      <c r="J35" s="52"/>
    </row>
    <row r="36" spans="1:10" x14ac:dyDescent="0.45">
      <c r="A36" s="30" t="s">
        <v>33</v>
      </c>
      <c r="B36" s="30" t="s">
        <v>5</v>
      </c>
      <c r="C36" s="34" t="s">
        <v>5</v>
      </c>
      <c r="D36" s="25" t="str">
        <f>IF('Maturity repres. assessment'!C36="Completely","✓",IF('Maturity repres. assessment'!C36="Mostly","✓",IF('Maturity repres. assessment'!C36="Not applicable","N/A",IF('Maturity repres. assessment'!C36="","","✕"))))</f>
        <v/>
      </c>
      <c r="E36" s="52"/>
      <c r="F36" s="52"/>
      <c r="G36" s="52"/>
      <c r="H36" s="52"/>
      <c r="I36" s="52"/>
      <c r="J36" s="52"/>
    </row>
    <row r="37" spans="1:10" x14ac:dyDescent="0.45">
      <c r="A37" s="30" t="s">
        <v>34</v>
      </c>
      <c r="B37" s="34">
        <v>48</v>
      </c>
      <c r="C37" s="46">
        <v>17.857142857142801</v>
      </c>
      <c r="D37" s="25" t="str">
        <f>IF('Maturity repres. assessment'!C37="Completely","✓",IF('Maturity repres. assessment'!C37="Mostly","✓",IF('Maturity repres. assessment'!C37="Not applicable","N/A",IF('Maturity repres. assessment'!C37="","","✕"))))</f>
        <v/>
      </c>
      <c r="E37" s="52"/>
      <c r="F37" s="52"/>
      <c r="G37" s="52"/>
      <c r="H37" s="52"/>
      <c r="I37" s="52"/>
      <c r="J37" s="52"/>
    </row>
    <row r="38" spans="1:10" x14ac:dyDescent="0.45">
      <c r="A38" s="30" t="s">
        <v>35</v>
      </c>
      <c r="B38" s="30" t="s">
        <v>5</v>
      </c>
      <c r="C38" s="43" t="s">
        <v>5</v>
      </c>
      <c r="D38" s="25" t="str">
        <f>IF('Maturity repres. assessment'!C38="Completely","✓",IF('Maturity repres. assessment'!C38="Mostly","✓",IF('Maturity repres. assessment'!C38="Not applicable","N/A",IF('Maturity repres. assessment'!C38="","","✕"))))</f>
        <v/>
      </c>
      <c r="E38" s="52"/>
      <c r="F38" s="52"/>
      <c r="G38" s="52"/>
      <c r="H38" s="52"/>
      <c r="I38" s="52"/>
      <c r="J38" s="52"/>
    </row>
    <row r="39" spans="1:10" x14ac:dyDescent="0.45">
      <c r="A39" s="30" t="s">
        <v>36</v>
      </c>
      <c r="B39" s="30" t="s">
        <v>5</v>
      </c>
      <c r="C39" s="43" t="s">
        <v>5</v>
      </c>
      <c r="D39" s="25" t="str">
        <f>IF('Maturity repres. assessment'!C39="Completely","✓",IF('Maturity repres. assessment'!C39="Mostly","✓",IF('Maturity repres. assessment'!C39="Not applicable","N/A",IF('Maturity repres. assessment'!C39="","","✕"))))</f>
        <v/>
      </c>
      <c r="E39" s="52"/>
      <c r="F39" s="52"/>
      <c r="G39" s="52"/>
      <c r="H39" s="52"/>
      <c r="I39" s="52"/>
      <c r="J39" s="52"/>
    </row>
    <row r="40" spans="1:10" x14ac:dyDescent="0.45">
      <c r="A40" s="30" t="s">
        <v>37</v>
      </c>
      <c r="B40" s="30" t="s">
        <v>5</v>
      </c>
      <c r="C40" s="30" t="s">
        <v>5</v>
      </c>
      <c r="D40" s="25" t="str">
        <f>IF('Maturity repres. assessment'!C40="Completely","✓",IF('Maturity repres. assessment'!C40="Mostly","✓",IF('Maturity repres. assessment'!C40="Not applicable","N/A",IF('Maturity repres. assessment'!C40="","","✕"))))</f>
        <v/>
      </c>
      <c r="E40" s="52"/>
      <c r="F40" s="52"/>
      <c r="G40" s="52"/>
      <c r="H40" s="52"/>
      <c r="I40" s="52"/>
      <c r="J40" s="52"/>
    </row>
    <row r="41" spans="1:10" x14ac:dyDescent="0.45">
      <c r="A41" s="30" t="s">
        <v>38</v>
      </c>
      <c r="B41" s="30" t="s">
        <v>5</v>
      </c>
      <c r="C41" s="43" t="s">
        <v>5</v>
      </c>
      <c r="D41" s="25" t="str">
        <f>IF('Maturity repres. assessment'!C41="Completely","✓",IF('Maturity repres. assessment'!C41="Mostly","✓",IF('Maturity repres. assessment'!C41="Not applicable","N/A",IF('Maturity repres. assessment'!C41="","","✕"))))</f>
        <v/>
      </c>
      <c r="E41" s="52"/>
      <c r="F41" s="52"/>
      <c r="G41" s="52"/>
      <c r="H41" s="52"/>
      <c r="I41" s="52"/>
      <c r="J41" s="52"/>
    </row>
    <row r="42" spans="1:10" x14ac:dyDescent="0.45">
      <c r="A42" s="129" t="s">
        <v>48</v>
      </c>
      <c r="B42" s="132"/>
      <c r="C42" s="132"/>
      <c r="D42" s="132"/>
      <c r="E42" s="51"/>
      <c r="F42" s="51"/>
      <c r="G42" s="51"/>
      <c r="H42" s="51"/>
      <c r="I42" s="51"/>
      <c r="J42" s="51"/>
    </row>
    <row r="43" spans="1:10" x14ac:dyDescent="0.45">
      <c r="A43" s="30" t="s">
        <v>39</v>
      </c>
      <c r="B43" s="30" t="s">
        <v>5</v>
      </c>
      <c r="C43" s="30" t="s">
        <v>5</v>
      </c>
      <c r="D43" s="25" t="str">
        <f>IF('Maturity repres. assessment'!C43="Completely","✓",IF('Maturity repres. assessment'!C43="Mostly","✓",IF('Maturity repres. assessment'!C43="Not applicable","N/A",IF('Maturity repres. assessment'!C43="","","✕"))))</f>
        <v/>
      </c>
      <c r="E43" s="52"/>
      <c r="F43" s="52"/>
      <c r="G43" s="52"/>
      <c r="H43" s="52"/>
      <c r="I43" s="52"/>
      <c r="J43" s="52"/>
    </row>
    <row r="44" spans="1:10" x14ac:dyDescent="0.45">
      <c r="A44" s="30" t="s">
        <v>40</v>
      </c>
      <c r="B44" s="34">
        <v>28</v>
      </c>
      <c r="C44" s="46">
        <v>3.5714285714285698</v>
      </c>
      <c r="D44" s="25" t="str">
        <f>IF('Maturity repres. assessment'!C44="Completely","✓",IF('Maturity repres. assessment'!C44="Mostly","✓",IF('Maturity repres. assessment'!C44="Not applicable","N/A",IF('Maturity repres. assessment'!C44="","","✕"))))</f>
        <v/>
      </c>
      <c r="E44" s="52"/>
      <c r="F44" s="52"/>
      <c r="G44" s="52"/>
      <c r="H44" s="52"/>
      <c r="I44" s="52"/>
      <c r="J44" s="52"/>
    </row>
    <row r="45" spans="1:10" x14ac:dyDescent="0.45">
      <c r="A45" s="30" t="s">
        <v>41</v>
      </c>
      <c r="B45" s="34">
        <v>37</v>
      </c>
      <c r="C45" s="46">
        <v>7.1428571428571397</v>
      </c>
      <c r="D45" s="25" t="str">
        <f>IF('Maturity repres. assessment'!C45="Completely","✓",IF('Maturity repres. assessment'!C45="Mostly","✓",IF('Maturity repres. assessment'!C45="Not applicable","N/A",IF('Maturity repres. assessment'!C45="","","✕"))))</f>
        <v/>
      </c>
      <c r="E45" s="52"/>
      <c r="F45" s="52"/>
      <c r="G45" s="52"/>
      <c r="H45" s="52"/>
      <c r="I45" s="52"/>
      <c r="J45" s="52"/>
    </row>
    <row r="46" spans="1:10" x14ac:dyDescent="0.45">
      <c r="A46" s="30" t="s">
        <v>42</v>
      </c>
      <c r="B46" s="30" t="s">
        <v>5</v>
      </c>
      <c r="C46" s="43" t="s">
        <v>5</v>
      </c>
      <c r="D46" s="25" t="str">
        <f>IF('Maturity repres. assessment'!C46="Completely","✓",IF('Maturity repres. assessment'!C46="Mostly","✓",IF('Maturity repres. assessment'!C46="Not applicable","N/A",IF('Maturity repres. assessment'!C46="","","✕"))))</f>
        <v/>
      </c>
      <c r="E46" s="52"/>
      <c r="F46" s="52"/>
      <c r="G46" s="52"/>
      <c r="H46" s="52"/>
      <c r="I46" s="52"/>
      <c r="J46" s="52"/>
    </row>
    <row r="47" spans="1:10" x14ac:dyDescent="0.45">
      <c r="A47" s="30" t="s">
        <v>43</v>
      </c>
      <c r="B47" s="30" t="s">
        <v>5</v>
      </c>
      <c r="C47" s="43" t="s">
        <v>5</v>
      </c>
      <c r="D47" s="25" t="str">
        <f>IF('Maturity repres. assessment'!C47="Completely","✓",IF('Maturity repres. assessment'!C47="Mostly","✓",IF('Maturity repres. assessment'!C47="Not applicable","N/A",IF('Maturity repres. assessment'!C47="","","✕"))))</f>
        <v/>
      </c>
      <c r="E47" s="52"/>
      <c r="F47" s="52"/>
      <c r="G47" s="52"/>
      <c r="H47" s="52"/>
      <c r="I47" s="52"/>
      <c r="J47" s="52"/>
    </row>
    <row r="48" spans="1:10" x14ac:dyDescent="0.45">
      <c r="A48" s="30" t="s">
        <v>44</v>
      </c>
      <c r="B48" s="30" t="s">
        <v>5</v>
      </c>
      <c r="C48" s="43" t="s">
        <v>5</v>
      </c>
      <c r="D48" s="25" t="str">
        <f>IF('Maturity repres. assessment'!C48="Completely","✓",IF('Maturity repres. assessment'!C48="Mostly","✓",IF('Maturity repres. assessment'!C48="Not applicable","N/A",IF('Maturity repres. assessment'!C48="","","✕"))))</f>
        <v/>
      </c>
      <c r="E48" s="52"/>
      <c r="F48" s="52"/>
      <c r="G48" s="52"/>
      <c r="H48" s="52"/>
      <c r="I48" s="52"/>
      <c r="J48" s="52"/>
    </row>
    <row r="49" spans="1:10" x14ac:dyDescent="0.45">
      <c r="A49" s="30" t="s">
        <v>45</v>
      </c>
      <c r="B49" s="30" t="s">
        <v>5</v>
      </c>
      <c r="C49" s="43" t="s">
        <v>5</v>
      </c>
      <c r="D49" s="25" t="str">
        <f>IF('Maturity repres. assessment'!C49="Completely","✓",IF('Maturity repres. assessment'!C49="Mostly","✓",IF('Maturity repres. assessment'!C49="Not applicable","N/A",IF('Maturity repres. assessment'!C49="","","✕"))))</f>
        <v/>
      </c>
      <c r="E49" s="52"/>
      <c r="F49" s="52"/>
      <c r="G49" s="52"/>
      <c r="H49" s="52"/>
      <c r="I49" s="52"/>
      <c r="J49" s="52"/>
    </row>
    <row r="50" spans="1:10" x14ac:dyDescent="0.45">
      <c r="A50" s="30" t="s">
        <v>46</v>
      </c>
      <c r="B50" s="30" t="s">
        <v>5</v>
      </c>
      <c r="C50" s="30" t="s">
        <v>5</v>
      </c>
      <c r="D50" s="25" t="str">
        <f>IF('Maturity repres. assessment'!C50="Completely","✓",IF('Maturity repres. assessment'!C50="Mostly","✓",IF('Maturity repres. assessment'!C50="Not applicable","N/A",IF('Maturity repres. assessment'!C50="","","✕"))))</f>
        <v/>
      </c>
      <c r="E50" s="52"/>
      <c r="F50" s="52"/>
      <c r="G50" s="52"/>
      <c r="H50" s="52"/>
      <c r="I50" s="52"/>
      <c r="J50" s="52"/>
    </row>
    <row r="51" spans="1:10" x14ac:dyDescent="0.45">
      <c r="A51" s="30" t="s">
        <v>62</v>
      </c>
      <c r="B51" s="30" t="s">
        <v>5</v>
      </c>
      <c r="C51" s="30" t="s">
        <v>5</v>
      </c>
      <c r="D51" s="25" t="str">
        <f>IF('Maturity repres. assessment'!C51="Completely","✓",IF('Maturity repres. assessment'!C51="Mostly","✓",IF('Maturity repres. assessment'!C51="Not applicable","N/A",IF('Maturity repres. assessment'!C51="","","✕"))))</f>
        <v/>
      </c>
      <c r="E51" s="52"/>
      <c r="F51" s="52"/>
      <c r="G51" s="52"/>
      <c r="H51" s="52"/>
      <c r="I51" s="52"/>
      <c r="J51" s="52"/>
    </row>
    <row r="52" spans="1:10" x14ac:dyDescent="0.45">
      <c r="A52" s="30" t="s">
        <v>47</v>
      </c>
      <c r="B52" s="30" t="s">
        <v>5</v>
      </c>
      <c r="C52" s="30" t="s">
        <v>5</v>
      </c>
      <c r="D52" s="25" t="str">
        <f>IF('Maturity repres. assessment'!C52="Completely","✓",IF('Maturity repres. assessment'!C52="Mostly","✓",IF('Maturity repres. assessment'!C52="Not applicable","N/A",IF('Maturity repres. assessment'!C52="","","✕"))))</f>
        <v/>
      </c>
      <c r="E52" s="52"/>
      <c r="F52" s="52"/>
      <c r="G52" s="52"/>
      <c r="H52" s="52"/>
      <c r="I52" s="52"/>
      <c r="J52" s="52"/>
    </row>
    <row r="53" spans="1:10" x14ac:dyDescent="0.45">
      <c r="D53" s="34"/>
    </row>
    <row r="54" spans="1:10" x14ac:dyDescent="0.45">
      <c r="D54" s="34"/>
    </row>
  </sheetData>
  <sheetProtection algorithmName="SHA-512" hashValue="sRXssgBpm14/oPlXJwkkYPI01qTKOPVhvyTAag4Im8mr5G8pgmaDeLPTSOgYub3kni5AyFxqYskzNBhujQv+2g==" saltValue="l33cFCVxGvP81ni9R+BX3g==" spinCount="100000" sheet="1" objects="1" scenarios="1"/>
  <mergeCells count="11">
    <mergeCell ref="F2:H2"/>
    <mergeCell ref="G3:H3"/>
    <mergeCell ref="G4:H4"/>
    <mergeCell ref="G5:H5"/>
    <mergeCell ref="J2:Q20"/>
    <mergeCell ref="A18:D18"/>
    <mergeCell ref="A31:D31"/>
    <mergeCell ref="A42:D42"/>
    <mergeCell ref="A1:D1"/>
    <mergeCell ref="A3:D3"/>
    <mergeCell ref="A12:D12"/>
  </mergeCells>
  <dataValidations count="1">
    <dataValidation type="list" allowBlank="1" showInputMessage="1" showErrorMessage="1" sqref="E5" xr:uid="{6BC75E35-06DA-4E30-A1AA-BCBB8917E1AE}">
      <formula1>"Not at alll, Partially, Mostly, Completely"</formula1>
    </dataValidation>
  </dataValidations>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29557-91E5-44AD-90DE-72E572245377}">
  <sheetPr codeName="Blad3"/>
  <dimension ref="A1:S35"/>
  <sheetViews>
    <sheetView zoomScaleNormal="100" workbookViewId="0">
      <selection activeCell="L3" sqref="L3:S13"/>
    </sheetView>
  </sheetViews>
  <sheetFormatPr defaultRowHeight="14.25" x14ac:dyDescent="0.45"/>
  <cols>
    <col min="1" max="1" width="18" customWidth="1"/>
    <col min="2" max="3" width="20" customWidth="1"/>
    <col min="4" max="4" width="22.796875" customWidth="1"/>
    <col min="5" max="5" width="25.796875" customWidth="1"/>
    <col min="6" max="6" width="23.53125" customWidth="1"/>
  </cols>
  <sheetData>
    <row r="1" spans="1:19" ht="25.25" customHeight="1" x14ac:dyDescent="0.45">
      <c r="A1" s="117" t="s">
        <v>93</v>
      </c>
      <c r="B1" s="117"/>
      <c r="C1" s="117"/>
      <c r="D1" s="117"/>
      <c r="E1" s="117"/>
      <c r="F1" s="117"/>
      <c r="G1" s="117"/>
      <c r="H1" s="117"/>
      <c r="I1" s="117"/>
    </row>
    <row r="3" spans="1:19" ht="14.45" customHeight="1" x14ac:dyDescent="0.45">
      <c r="A3" s="142" t="s">
        <v>65</v>
      </c>
      <c r="B3" s="142"/>
      <c r="C3" s="142"/>
      <c r="D3" s="142"/>
      <c r="E3" s="37"/>
      <c r="F3" s="142" t="s">
        <v>94</v>
      </c>
      <c r="G3" s="142"/>
      <c r="H3" s="142"/>
      <c r="I3" s="142"/>
      <c r="L3" s="99" t="s">
        <v>167</v>
      </c>
      <c r="M3" s="100"/>
      <c r="N3" s="100"/>
      <c r="O3" s="100"/>
      <c r="P3" s="100"/>
      <c r="Q3" s="100"/>
      <c r="R3" s="100"/>
      <c r="S3" s="101"/>
    </row>
    <row r="4" spans="1:19" ht="20" customHeight="1" x14ac:dyDescent="0.45">
      <c r="A4" s="12" t="s">
        <v>66</v>
      </c>
      <c r="B4" s="143"/>
      <c r="C4" s="143"/>
      <c r="D4" s="143"/>
      <c r="F4" s="12" t="s">
        <v>95</v>
      </c>
      <c r="G4" s="143"/>
      <c r="H4" s="143"/>
      <c r="I4" s="143"/>
      <c r="L4" s="102"/>
      <c r="M4" s="103"/>
      <c r="N4" s="103"/>
      <c r="O4" s="103"/>
      <c r="P4" s="103"/>
      <c r="Q4" s="103"/>
      <c r="R4" s="103"/>
      <c r="S4" s="104"/>
    </row>
    <row r="5" spans="1:19" ht="20" customHeight="1" x14ac:dyDescent="0.45">
      <c r="A5" s="12" t="s">
        <v>70</v>
      </c>
      <c r="B5" s="144"/>
      <c r="C5" s="144"/>
      <c r="D5" s="144"/>
      <c r="F5" s="12" t="s">
        <v>96</v>
      </c>
      <c r="G5" s="144"/>
      <c r="H5" s="144"/>
      <c r="I5" s="144"/>
      <c r="L5" s="102"/>
      <c r="M5" s="103"/>
      <c r="N5" s="103"/>
      <c r="O5" s="103"/>
      <c r="P5" s="103"/>
      <c r="Q5" s="103"/>
      <c r="R5" s="103"/>
      <c r="S5" s="104"/>
    </row>
    <row r="6" spans="1:19" ht="20" customHeight="1" x14ac:dyDescent="0.45">
      <c r="A6" s="12" t="s">
        <v>68</v>
      </c>
      <c r="B6" s="143"/>
      <c r="C6" s="143"/>
      <c r="D6" s="143"/>
      <c r="F6" s="12" t="s">
        <v>79</v>
      </c>
      <c r="G6" s="144"/>
      <c r="H6" s="144"/>
      <c r="I6" s="144"/>
      <c r="L6" s="102"/>
      <c r="M6" s="103"/>
      <c r="N6" s="103"/>
      <c r="O6" s="103"/>
      <c r="P6" s="103"/>
      <c r="Q6" s="103"/>
      <c r="R6" s="103"/>
      <c r="S6" s="104"/>
    </row>
    <row r="7" spans="1:19" ht="20" customHeight="1" x14ac:dyDescent="0.45">
      <c r="A7" s="12" t="s">
        <v>154</v>
      </c>
      <c r="B7" s="143"/>
      <c r="C7" s="143"/>
      <c r="D7" s="143"/>
      <c r="F7" s="12"/>
      <c r="L7" s="102"/>
      <c r="M7" s="103"/>
      <c r="N7" s="103"/>
      <c r="O7" s="103"/>
      <c r="P7" s="103"/>
      <c r="Q7" s="103"/>
      <c r="R7" s="103"/>
      <c r="S7" s="104"/>
    </row>
    <row r="8" spans="1:19" ht="20" customHeight="1" x14ac:dyDescent="0.45">
      <c r="A8" s="12" t="s">
        <v>69</v>
      </c>
      <c r="B8" s="143"/>
      <c r="C8" s="143"/>
      <c r="D8" s="143"/>
      <c r="F8" s="12"/>
      <c r="L8" s="102"/>
      <c r="M8" s="103"/>
      <c r="N8" s="103"/>
      <c r="O8" s="103"/>
      <c r="P8" s="103"/>
      <c r="Q8" s="103"/>
      <c r="R8" s="103"/>
      <c r="S8" s="104"/>
    </row>
    <row r="9" spans="1:19" ht="14.45" customHeight="1" x14ac:dyDescent="0.45">
      <c r="A9" s="12"/>
      <c r="B9" s="149"/>
      <c r="C9" s="149"/>
      <c r="D9" s="149"/>
      <c r="F9" s="12"/>
      <c r="L9" s="102"/>
      <c r="M9" s="103"/>
      <c r="N9" s="103"/>
      <c r="O9" s="103"/>
      <c r="P9" s="103"/>
      <c r="Q9" s="103"/>
      <c r="R9" s="103"/>
      <c r="S9" s="104"/>
    </row>
    <row r="10" spans="1:19" ht="14.45" customHeight="1" x14ac:dyDescent="0.45">
      <c r="A10" s="12"/>
      <c r="B10" s="149"/>
      <c r="C10" s="149"/>
      <c r="D10" s="149"/>
      <c r="F10" s="12"/>
      <c r="L10" s="102"/>
      <c r="M10" s="103"/>
      <c r="N10" s="103"/>
      <c r="O10" s="103"/>
      <c r="P10" s="103"/>
      <c r="Q10" s="103"/>
      <c r="R10" s="103"/>
      <c r="S10" s="104"/>
    </row>
    <row r="11" spans="1:19" ht="14.45" customHeight="1" x14ac:dyDescent="0.45">
      <c r="A11" s="12"/>
      <c r="B11" s="149"/>
      <c r="C11" s="149"/>
      <c r="D11" s="149"/>
      <c r="F11" s="12"/>
      <c r="L11" s="102"/>
      <c r="M11" s="103"/>
      <c r="N11" s="103"/>
      <c r="O11" s="103"/>
      <c r="P11" s="103"/>
      <c r="Q11" s="103"/>
      <c r="R11" s="103"/>
      <c r="S11" s="104"/>
    </row>
    <row r="12" spans="1:19" x14ac:dyDescent="0.45">
      <c r="A12" s="12"/>
      <c r="B12" s="148"/>
      <c r="C12" s="148"/>
      <c r="D12" s="148"/>
      <c r="L12" s="102"/>
      <c r="M12" s="103"/>
      <c r="N12" s="103"/>
      <c r="O12" s="103"/>
      <c r="P12" s="103"/>
      <c r="Q12" s="103"/>
      <c r="R12" s="103"/>
      <c r="S12" s="104"/>
    </row>
    <row r="13" spans="1:19" x14ac:dyDescent="0.45">
      <c r="A13" s="142" t="s">
        <v>97</v>
      </c>
      <c r="B13" s="147"/>
      <c r="C13" s="147"/>
      <c r="D13" s="147"/>
      <c r="E13" s="147"/>
      <c r="F13" s="147"/>
      <c r="G13" s="147"/>
      <c r="H13" s="147"/>
      <c r="I13" s="147"/>
      <c r="L13" s="105"/>
      <c r="M13" s="106"/>
      <c r="N13" s="106"/>
      <c r="O13" s="106"/>
      <c r="P13" s="106"/>
      <c r="Q13" s="106"/>
      <c r="R13" s="106"/>
      <c r="S13" s="107"/>
    </row>
    <row r="14" spans="1:19" x14ac:dyDescent="0.45">
      <c r="A14" s="53" t="s">
        <v>71</v>
      </c>
      <c r="B14" s="54" t="s">
        <v>72</v>
      </c>
      <c r="C14" s="37"/>
      <c r="D14" s="37"/>
      <c r="E14" s="37"/>
      <c r="F14" s="37"/>
      <c r="G14" s="37"/>
      <c r="H14" s="37"/>
      <c r="I14" s="37"/>
      <c r="L14" s="41"/>
      <c r="M14" s="41"/>
      <c r="N14" s="41"/>
      <c r="O14" s="41"/>
      <c r="P14" s="41"/>
      <c r="Q14" s="41"/>
      <c r="R14" s="41"/>
      <c r="S14" s="41"/>
    </row>
    <row r="15" spans="1:19" ht="20" customHeight="1" x14ac:dyDescent="0.45">
      <c r="A15" s="55" t="s">
        <v>73</v>
      </c>
      <c r="B15" s="34"/>
      <c r="C15" s="37"/>
      <c r="D15" s="37"/>
      <c r="E15" s="37"/>
      <c r="F15" s="37"/>
      <c r="G15" s="37"/>
      <c r="H15" s="37"/>
      <c r="I15" s="37"/>
      <c r="L15" s="16"/>
      <c r="M15" s="16"/>
      <c r="N15" s="16"/>
      <c r="O15" s="16"/>
      <c r="P15" s="16"/>
      <c r="Q15" s="16"/>
      <c r="R15" s="16"/>
      <c r="S15" s="16"/>
    </row>
    <row r="16" spans="1:19" ht="20" customHeight="1" x14ac:dyDescent="0.45">
      <c r="A16" s="56" t="s">
        <v>74</v>
      </c>
      <c r="B16" s="34"/>
      <c r="C16" s="37"/>
      <c r="D16" s="37"/>
      <c r="E16" s="37"/>
      <c r="F16" s="37"/>
      <c r="G16" s="37"/>
      <c r="H16" s="37"/>
      <c r="I16" s="37"/>
      <c r="L16" s="16"/>
      <c r="M16" s="16"/>
      <c r="N16" s="16"/>
      <c r="O16" s="16"/>
      <c r="P16" s="16"/>
      <c r="Q16" s="16"/>
      <c r="R16" s="16"/>
      <c r="S16" s="16"/>
    </row>
    <row r="17" spans="1:19" ht="20" customHeight="1" x14ac:dyDescent="0.45">
      <c r="A17" s="57" t="s">
        <v>75</v>
      </c>
      <c r="B17" s="34"/>
      <c r="C17" s="37"/>
      <c r="D17" s="37"/>
      <c r="E17" s="37"/>
      <c r="F17" s="37"/>
      <c r="G17" s="37"/>
      <c r="H17" s="37"/>
      <c r="I17" s="37"/>
      <c r="L17" s="16"/>
      <c r="M17" s="16"/>
      <c r="N17" s="16"/>
      <c r="O17" s="16"/>
      <c r="P17" s="16"/>
      <c r="Q17" s="16"/>
      <c r="R17" s="16"/>
      <c r="S17" s="16"/>
    </row>
    <row r="18" spans="1:19" ht="20" customHeight="1" x14ac:dyDescent="0.45">
      <c r="A18" s="58" t="s">
        <v>76</v>
      </c>
      <c r="B18" s="34"/>
      <c r="C18" s="37"/>
      <c r="D18" s="37"/>
      <c r="E18" s="37"/>
      <c r="F18" s="37"/>
      <c r="G18" s="37"/>
      <c r="H18" s="37"/>
      <c r="I18" s="37"/>
    </row>
    <row r="19" spans="1:19" ht="20" customHeight="1" x14ac:dyDescent="0.45">
      <c r="A19" s="59" t="s">
        <v>67</v>
      </c>
      <c r="B19" s="34"/>
      <c r="C19" s="37"/>
      <c r="D19" s="37"/>
      <c r="E19" s="37"/>
      <c r="F19" s="37"/>
      <c r="G19" s="37"/>
      <c r="H19" s="37"/>
      <c r="I19" s="37"/>
    </row>
    <row r="20" spans="1:19" ht="20" customHeight="1" x14ac:dyDescent="0.45">
      <c r="A20" s="60" t="s">
        <v>77</v>
      </c>
      <c r="B20" s="34"/>
      <c r="C20" s="37"/>
      <c r="D20" s="37"/>
      <c r="E20" s="37"/>
      <c r="F20" s="37"/>
      <c r="G20" s="37"/>
      <c r="H20" s="37"/>
      <c r="I20" s="37"/>
    </row>
    <row r="21" spans="1:19" x14ac:dyDescent="0.45">
      <c r="A21" s="37"/>
      <c r="B21" s="37"/>
      <c r="C21" s="37"/>
      <c r="D21" s="37"/>
      <c r="E21" s="37"/>
      <c r="F21" s="37"/>
      <c r="G21" s="37"/>
      <c r="H21" s="37"/>
      <c r="I21" s="37"/>
    </row>
    <row r="22" spans="1:19" x14ac:dyDescent="0.45">
      <c r="A22" s="37"/>
      <c r="B22" s="37"/>
      <c r="C22" s="37"/>
      <c r="D22" s="37"/>
      <c r="E22" s="37"/>
      <c r="F22" s="37"/>
      <c r="G22" s="37"/>
      <c r="H22" s="37"/>
      <c r="I22" s="37"/>
    </row>
    <row r="23" spans="1:19" x14ac:dyDescent="0.45">
      <c r="A23" s="37"/>
      <c r="B23" s="37"/>
      <c r="C23" s="37"/>
      <c r="D23" s="37"/>
      <c r="E23" s="37"/>
      <c r="F23" s="37"/>
      <c r="G23" s="37"/>
      <c r="H23" s="37"/>
      <c r="I23" s="37"/>
    </row>
    <row r="24" spans="1:19" x14ac:dyDescent="0.45">
      <c r="A24" s="37"/>
      <c r="B24" s="37"/>
      <c r="C24" s="37"/>
      <c r="D24" s="37"/>
      <c r="E24" s="37"/>
      <c r="F24" s="37"/>
      <c r="G24" s="37"/>
      <c r="H24" s="37"/>
      <c r="I24" s="37"/>
    </row>
    <row r="25" spans="1:19" x14ac:dyDescent="0.45">
      <c r="A25" s="37"/>
      <c r="B25" s="37"/>
      <c r="C25" s="37"/>
      <c r="D25" s="37"/>
      <c r="E25" s="37"/>
      <c r="F25" s="37"/>
      <c r="G25" s="37"/>
      <c r="H25" s="37"/>
      <c r="I25" s="37"/>
    </row>
    <row r="26" spans="1:19" x14ac:dyDescent="0.45">
      <c r="A26" s="37"/>
      <c r="B26" s="37"/>
      <c r="C26" s="37"/>
      <c r="D26" s="37"/>
      <c r="E26" s="37"/>
      <c r="F26" s="37"/>
      <c r="G26" s="37"/>
      <c r="H26" s="37"/>
      <c r="I26" s="37"/>
    </row>
    <row r="27" spans="1:19" x14ac:dyDescent="0.45">
      <c r="A27" s="37"/>
      <c r="B27" s="37"/>
      <c r="C27" s="37"/>
      <c r="D27" s="37"/>
      <c r="E27" s="37"/>
      <c r="F27" s="37"/>
      <c r="G27" s="37"/>
      <c r="H27" s="37"/>
      <c r="I27" s="37"/>
    </row>
    <row r="28" spans="1:19" x14ac:dyDescent="0.45">
      <c r="A28" s="37"/>
      <c r="B28" s="37"/>
      <c r="C28" s="37"/>
      <c r="D28" s="37"/>
      <c r="E28" s="37"/>
      <c r="F28" s="37"/>
      <c r="G28" s="37"/>
      <c r="H28" s="37"/>
      <c r="I28" s="37"/>
    </row>
    <row r="29" spans="1:19" x14ac:dyDescent="0.45">
      <c r="A29" s="37"/>
      <c r="B29" s="37"/>
      <c r="C29" s="37"/>
      <c r="D29" s="37"/>
      <c r="E29" s="37"/>
      <c r="F29" s="37"/>
      <c r="G29" s="37"/>
      <c r="H29" s="37"/>
      <c r="I29" s="37"/>
    </row>
    <row r="30" spans="1:19" x14ac:dyDescent="0.45">
      <c r="A30" s="37"/>
      <c r="B30" s="37"/>
      <c r="C30" s="37"/>
      <c r="D30" s="37"/>
      <c r="E30" s="37"/>
      <c r="F30" s="37"/>
      <c r="G30" s="37"/>
      <c r="H30" s="37"/>
      <c r="I30" s="37"/>
    </row>
    <row r="31" spans="1:19" x14ac:dyDescent="0.45">
      <c r="A31" s="37"/>
      <c r="B31" s="37"/>
      <c r="C31" s="37"/>
      <c r="D31" s="37"/>
      <c r="E31" s="37"/>
      <c r="F31" s="37"/>
      <c r="G31" s="37"/>
      <c r="H31" s="37"/>
      <c r="I31" s="37"/>
    </row>
    <row r="32" spans="1:19" x14ac:dyDescent="0.45">
      <c r="A32" s="37"/>
      <c r="B32" s="37"/>
      <c r="C32" s="37"/>
      <c r="D32" s="37"/>
      <c r="E32" s="37"/>
      <c r="F32" s="37"/>
      <c r="G32" s="37"/>
      <c r="H32" s="37"/>
      <c r="I32" s="37"/>
    </row>
    <row r="33" spans="1:9" x14ac:dyDescent="0.45">
      <c r="A33" s="145" t="s">
        <v>81</v>
      </c>
      <c r="B33" s="146"/>
      <c r="C33" s="146"/>
      <c r="D33" s="146"/>
      <c r="E33" s="146"/>
      <c r="F33" s="146"/>
      <c r="G33" s="146"/>
      <c r="H33" s="146"/>
      <c r="I33" s="146"/>
    </row>
    <row r="34" spans="1:9" x14ac:dyDescent="0.45">
      <c r="A34" s="37"/>
      <c r="B34" s="37"/>
      <c r="C34" s="37"/>
      <c r="D34" s="37"/>
      <c r="E34" s="37"/>
      <c r="F34" s="37"/>
      <c r="G34" s="37"/>
      <c r="H34" s="37"/>
      <c r="I34" s="37"/>
    </row>
    <row r="35" spans="1:9" x14ac:dyDescent="0.45">
      <c r="A35" s="61" t="s">
        <v>78</v>
      </c>
      <c r="B35" s="30"/>
      <c r="C35" s="37"/>
      <c r="D35" s="37"/>
      <c r="E35" s="37"/>
      <c r="F35" s="37"/>
      <c r="G35" s="37"/>
      <c r="H35" s="37"/>
      <c r="I35" s="37"/>
    </row>
  </sheetData>
  <sheetProtection algorithmName="SHA-512" hashValue="uNXxcbcB5nv5fZa6Mvo8lWOU1LXnZdKlyQ8hnWB5xw2HBhcKFeP4CrfcI5CbmkLNQctAa5mcwCvSqPAcmwcY0g==" saltValue="dq0+wwkjY8TinGO7+3rGGg==" spinCount="100000" sheet="1" objects="1" scenarios="1"/>
  <mergeCells count="18">
    <mergeCell ref="L3:S13"/>
    <mergeCell ref="A33:I33"/>
    <mergeCell ref="A13:I13"/>
    <mergeCell ref="B12:D12"/>
    <mergeCell ref="B8:D8"/>
    <mergeCell ref="B7:D7"/>
    <mergeCell ref="B9:D9"/>
    <mergeCell ref="B10:D10"/>
    <mergeCell ref="B11:D11"/>
    <mergeCell ref="A1:I1"/>
    <mergeCell ref="A3:D3"/>
    <mergeCell ref="B4:D4"/>
    <mergeCell ref="B5:D5"/>
    <mergeCell ref="G6:I6"/>
    <mergeCell ref="F3:I3"/>
    <mergeCell ref="G4:I4"/>
    <mergeCell ref="G5:I5"/>
    <mergeCell ref="B6:D6"/>
  </mergeCells>
  <dataValidations count="2">
    <dataValidation operator="notEqual" allowBlank="1" showInputMessage="1" showErrorMessage="1" sqref="G5:I5" xr:uid="{A7954E3E-99E6-4AA1-A2B5-17C7C13E6C27}"/>
    <dataValidation type="list" allowBlank="1" showInputMessage="1" showErrorMessage="1" sqref="B5:D5" xr:uid="{FB3E24DA-3293-44FD-AC30-E5F341683E44}">
      <formula1>"Tech company, Govermental organisation, Research (i.e. university or non-commercial research labs), Non-tech company"</formula1>
    </dataValidation>
  </dataValidations>
  <pageMargins left="0.7" right="0.7" top="0.75" bottom="0.75" header="0.3" footer="0.3"/>
  <pageSetup paperSize="9"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A62BE-CBFD-4703-9D5A-42746AC62956}">
  <sheetPr codeName="Blad4"/>
  <dimension ref="A1:R131"/>
  <sheetViews>
    <sheetView zoomScaleNormal="100" workbookViewId="0">
      <selection activeCell="K2" sqref="K2:R12"/>
    </sheetView>
  </sheetViews>
  <sheetFormatPr defaultRowHeight="14.25" x14ac:dyDescent="0.45"/>
  <cols>
    <col min="1" max="8" width="23.53125" customWidth="1"/>
  </cols>
  <sheetData>
    <row r="1" spans="1:18" ht="25.25" customHeight="1" x14ac:dyDescent="0.45">
      <c r="A1" s="117" t="s">
        <v>98</v>
      </c>
      <c r="B1" s="117"/>
      <c r="C1" s="117"/>
      <c r="D1" s="117"/>
      <c r="E1" s="117"/>
      <c r="F1" s="117"/>
      <c r="G1" s="117"/>
      <c r="H1" s="117"/>
      <c r="I1" s="15"/>
    </row>
    <row r="2" spans="1:18" ht="14.45" customHeight="1" x14ac:dyDescent="0.45">
      <c r="A2" s="62"/>
      <c r="B2" s="62"/>
      <c r="C2" s="62"/>
      <c r="D2" s="62"/>
      <c r="E2" s="62"/>
      <c r="F2" s="62"/>
      <c r="G2" s="62"/>
      <c r="H2" s="62"/>
      <c r="I2" s="13"/>
      <c r="K2" s="99" t="s">
        <v>168</v>
      </c>
      <c r="L2" s="100"/>
      <c r="M2" s="100"/>
      <c r="N2" s="100"/>
      <c r="O2" s="100"/>
      <c r="P2" s="100"/>
      <c r="Q2" s="100"/>
      <c r="R2" s="101"/>
    </row>
    <row r="3" spans="1:18" ht="14.45" customHeight="1" x14ac:dyDescent="0.45">
      <c r="A3" s="62"/>
      <c r="B3" s="62"/>
      <c r="C3" s="62"/>
      <c r="D3" s="62"/>
      <c r="E3" s="62"/>
      <c r="F3" s="62"/>
      <c r="G3" s="62"/>
      <c r="H3" s="62"/>
      <c r="I3" s="13"/>
      <c r="K3" s="102"/>
      <c r="L3" s="103"/>
      <c r="M3" s="103"/>
      <c r="N3" s="103"/>
      <c r="O3" s="103"/>
      <c r="P3" s="103"/>
      <c r="Q3" s="103"/>
      <c r="R3" s="104"/>
    </row>
    <row r="4" spans="1:18" ht="14.45" customHeight="1" x14ac:dyDescent="0.45">
      <c r="A4" s="62"/>
      <c r="B4" s="62"/>
      <c r="C4" s="62"/>
      <c r="D4" s="62"/>
      <c r="E4" s="62"/>
      <c r="F4" s="62"/>
      <c r="G4" s="62"/>
      <c r="H4" s="62"/>
      <c r="I4" s="13"/>
      <c r="K4" s="102"/>
      <c r="L4" s="103"/>
      <c r="M4" s="103"/>
      <c r="N4" s="103"/>
      <c r="O4" s="103"/>
      <c r="P4" s="103"/>
      <c r="Q4" s="103"/>
      <c r="R4" s="104"/>
    </row>
    <row r="5" spans="1:18" x14ac:dyDescent="0.45">
      <c r="A5" s="150" t="s">
        <v>80</v>
      </c>
      <c r="B5" s="150"/>
      <c r="C5" s="150"/>
      <c r="D5" s="150"/>
      <c r="E5" s="150"/>
      <c r="F5" s="150"/>
      <c r="G5" s="150"/>
      <c r="H5" s="150"/>
      <c r="K5" s="102"/>
      <c r="L5" s="103"/>
      <c r="M5" s="103"/>
      <c r="N5" s="103"/>
      <c r="O5" s="103"/>
      <c r="P5" s="103"/>
      <c r="Q5" s="103"/>
      <c r="R5" s="104"/>
    </row>
    <row r="6" spans="1:18" x14ac:dyDescent="0.45">
      <c r="A6" s="53" t="s">
        <v>71</v>
      </c>
      <c r="B6" s="54" t="s">
        <v>72</v>
      </c>
      <c r="C6" s="54" t="s">
        <v>82</v>
      </c>
      <c r="K6" s="102"/>
      <c r="L6" s="103"/>
      <c r="M6" s="103"/>
      <c r="N6" s="103"/>
      <c r="O6" s="103"/>
      <c r="P6" s="103"/>
      <c r="Q6" s="103"/>
      <c r="R6" s="104"/>
    </row>
    <row r="7" spans="1:18" ht="20" customHeight="1" x14ac:dyDescent="0.45">
      <c r="A7" s="55" t="s">
        <v>73</v>
      </c>
      <c r="B7" s="34"/>
      <c r="C7" s="18"/>
      <c r="K7" s="102"/>
      <c r="L7" s="103"/>
      <c r="M7" s="103"/>
      <c r="N7" s="103"/>
      <c r="O7" s="103"/>
      <c r="P7" s="103"/>
      <c r="Q7" s="103"/>
      <c r="R7" s="104"/>
    </row>
    <row r="8" spans="1:18" ht="20" customHeight="1" x14ac:dyDescent="0.45">
      <c r="A8" s="56" t="s">
        <v>74</v>
      </c>
      <c r="B8" s="34"/>
      <c r="C8" s="21"/>
      <c r="K8" s="102"/>
      <c r="L8" s="103"/>
      <c r="M8" s="103"/>
      <c r="N8" s="103"/>
      <c r="O8" s="103"/>
      <c r="P8" s="103"/>
      <c r="Q8" s="103"/>
      <c r="R8" s="104"/>
    </row>
    <row r="9" spans="1:18" ht="20" customHeight="1" x14ac:dyDescent="0.45">
      <c r="A9" s="57" t="s">
        <v>75</v>
      </c>
      <c r="B9" s="34"/>
      <c r="C9" s="18"/>
      <c r="K9" s="102"/>
      <c r="L9" s="103"/>
      <c r="M9" s="103"/>
      <c r="N9" s="103"/>
      <c r="O9" s="103"/>
      <c r="P9" s="103"/>
      <c r="Q9" s="103"/>
      <c r="R9" s="104"/>
    </row>
    <row r="10" spans="1:18" ht="20" customHeight="1" x14ac:dyDescent="0.45">
      <c r="A10" s="58" t="s">
        <v>76</v>
      </c>
      <c r="B10" s="34"/>
      <c r="C10" s="18"/>
      <c r="K10" s="102"/>
      <c r="L10" s="103"/>
      <c r="M10" s="103"/>
      <c r="N10" s="103"/>
      <c r="O10" s="103"/>
      <c r="P10" s="103"/>
      <c r="Q10" s="103"/>
      <c r="R10" s="104"/>
    </row>
    <row r="11" spans="1:18" ht="20" customHeight="1" x14ac:dyDescent="0.45">
      <c r="A11" s="59" t="s">
        <v>67</v>
      </c>
      <c r="B11" s="34"/>
      <c r="C11" s="21"/>
      <c r="K11" s="102"/>
      <c r="L11" s="103"/>
      <c r="M11" s="103"/>
      <c r="N11" s="103"/>
      <c r="O11" s="103"/>
      <c r="P11" s="103"/>
      <c r="Q11" s="103"/>
      <c r="R11" s="104"/>
    </row>
    <row r="12" spans="1:18" ht="20" customHeight="1" x14ac:dyDescent="0.45">
      <c r="A12" s="60" t="s">
        <v>77</v>
      </c>
      <c r="B12" s="34"/>
      <c r="C12" s="21"/>
      <c r="K12" s="105"/>
      <c r="L12" s="106"/>
      <c r="M12" s="106"/>
      <c r="N12" s="106"/>
      <c r="O12" s="106"/>
      <c r="P12" s="106"/>
      <c r="Q12" s="106"/>
      <c r="R12" s="107"/>
    </row>
    <row r="26" spans="1:8" x14ac:dyDescent="0.45">
      <c r="A26" s="126" t="s">
        <v>99</v>
      </c>
      <c r="B26" s="126"/>
      <c r="C26" s="126"/>
      <c r="D26" s="126"/>
      <c r="E26" s="126"/>
      <c r="F26" s="126"/>
      <c r="G26" s="37"/>
      <c r="H26" s="37"/>
    </row>
    <row r="27" spans="1:8" x14ac:dyDescent="0.45">
      <c r="A27" s="63" t="s">
        <v>55</v>
      </c>
      <c r="B27" s="64" t="s">
        <v>74</v>
      </c>
      <c r="C27" s="65" t="s">
        <v>75</v>
      </c>
      <c r="D27" s="66" t="s">
        <v>76</v>
      </c>
      <c r="E27" s="67" t="s">
        <v>67</v>
      </c>
      <c r="F27" s="68" t="s">
        <v>77</v>
      </c>
      <c r="G27" s="37"/>
      <c r="H27" s="37"/>
    </row>
    <row r="28" spans="1:8" x14ac:dyDescent="0.45">
      <c r="A28" s="69"/>
      <c r="B28" s="69"/>
      <c r="C28" s="69"/>
      <c r="D28" s="69"/>
      <c r="E28" s="69"/>
      <c r="F28" s="30"/>
      <c r="G28" s="37"/>
      <c r="H28" s="37"/>
    </row>
    <row r="29" spans="1:8" x14ac:dyDescent="0.45">
      <c r="A29" s="69"/>
      <c r="B29" s="69"/>
      <c r="C29" s="69"/>
      <c r="D29" s="69"/>
      <c r="E29" s="69"/>
      <c r="F29" s="30"/>
      <c r="G29" s="37"/>
      <c r="H29" s="37"/>
    </row>
    <row r="30" spans="1:8" x14ac:dyDescent="0.45">
      <c r="A30" s="69"/>
      <c r="B30" s="69"/>
      <c r="C30" s="69"/>
      <c r="D30" s="69"/>
      <c r="E30" s="69"/>
      <c r="F30" s="30"/>
      <c r="G30" s="37"/>
      <c r="H30" s="37"/>
    </row>
    <row r="31" spans="1:8" x14ac:dyDescent="0.45">
      <c r="A31" s="69"/>
      <c r="B31" s="69"/>
      <c r="C31" s="69"/>
      <c r="D31" s="69"/>
      <c r="E31" s="69"/>
      <c r="F31" s="30"/>
      <c r="G31" s="37"/>
      <c r="H31" s="37"/>
    </row>
    <row r="32" spans="1:8" x14ac:dyDescent="0.45">
      <c r="A32" s="69"/>
      <c r="B32" s="69"/>
      <c r="C32" s="69"/>
      <c r="D32" s="69"/>
      <c r="E32" s="69"/>
      <c r="F32" s="30"/>
      <c r="G32" s="37"/>
      <c r="H32" s="37"/>
    </row>
    <row r="33" spans="1:8" x14ac:dyDescent="0.45">
      <c r="A33" s="69"/>
      <c r="B33" s="69"/>
      <c r="C33" s="69"/>
      <c r="D33" s="69"/>
      <c r="E33" s="69"/>
      <c r="F33" s="30"/>
      <c r="G33" s="37"/>
      <c r="H33" s="37"/>
    </row>
    <row r="34" spans="1:8" x14ac:dyDescent="0.45">
      <c r="A34" s="30"/>
      <c r="B34" s="30"/>
      <c r="C34" s="30"/>
      <c r="D34" s="30"/>
      <c r="E34" s="30"/>
      <c r="F34" s="30"/>
      <c r="G34" s="37"/>
      <c r="H34" s="37"/>
    </row>
    <row r="35" spans="1:8" x14ac:dyDescent="0.45">
      <c r="A35" s="30"/>
      <c r="B35" s="30"/>
      <c r="C35" s="30"/>
      <c r="D35" s="30"/>
      <c r="E35" s="30"/>
      <c r="F35" s="30"/>
      <c r="G35" s="37"/>
      <c r="H35" s="37"/>
    </row>
    <row r="36" spans="1:8" x14ac:dyDescent="0.45">
      <c r="A36" s="30"/>
      <c r="B36" s="30"/>
      <c r="C36" s="30"/>
      <c r="D36" s="30"/>
      <c r="E36" s="30"/>
      <c r="F36" s="30"/>
      <c r="G36" s="37"/>
      <c r="H36" s="37"/>
    </row>
    <row r="37" spans="1:8" x14ac:dyDescent="0.45">
      <c r="A37" s="30"/>
      <c r="B37" s="30"/>
      <c r="C37" s="30"/>
      <c r="D37" s="30"/>
      <c r="E37" s="30"/>
      <c r="F37" s="30"/>
      <c r="G37" s="37"/>
      <c r="H37" s="37"/>
    </row>
    <row r="38" spans="1:8" x14ac:dyDescent="0.45">
      <c r="A38" s="30"/>
      <c r="B38" s="30"/>
      <c r="C38" s="30"/>
      <c r="D38" s="30"/>
      <c r="E38" s="30"/>
      <c r="F38" s="30"/>
      <c r="G38" s="37"/>
      <c r="H38" s="37"/>
    </row>
    <row r="39" spans="1:8" x14ac:dyDescent="0.45">
      <c r="A39" s="30"/>
      <c r="B39" s="30"/>
      <c r="C39" s="30"/>
      <c r="D39" s="30"/>
      <c r="E39" s="30"/>
      <c r="F39" s="30"/>
      <c r="G39" s="37"/>
      <c r="H39" s="37"/>
    </row>
    <row r="40" spans="1:8" x14ac:dyDescent="0.45">
      <c r="A40" s="30"/>
      <c r="B40" s="30"/>
      <c r="C40" s="30"/>
      <c r="D40" s="30"/>
      <c r="E40" s="30"/>
      <c r="F40" s="30"/>
      <c r="G40" s="37"/>
      <c r="H40" s="37"/>
    </row>
    <row r="41" spans="1:8" x14ac:dyDescent="0.45">
      <c r="A41" s="30"/>
      <c r="B41" s="30"/>
      <c r="C41" s="30"/>
      <c r="D41" s="30"/>
      <c r="E41" s="30"/>
      <c r="F41" s="30"/>
      <c r="G41" s="37"/>
      <c r="H41" s="37"/>
    </row>
    <row r="42" spans="1:8" x14ac:dyDescent="0.45">
      <c r="A42" s="30"/>
      <c r="B42" s="30"/>
      <c r="C42" s="30"/>
      <c r="D42" s="30"/>
      <c r="E42" s="30"/>
      <c r="F42" s="30"/>
      <c r="G42" s="37"/>
      <c r="H42" s="37"/>
    </row>
    <row r="43" spans="1:8" x14ac:dyDescent="0.45">
      <c r="A43" s="30"/>
      <c r="B43" s="30"/>
      <c r="C43" s="30"/>
      <c r="D43" s="30"/>
      <c r="E43" s="30"/>
      <c r="F43" s="30"/>
      <c r="G43" s="37"/>
      <c r="H43" s="37"/>
    </row>
    <row r="44" spans="1:8" x14ac:dyDescent="0.45">
      <c r="A44" s="30"/>
      <c r="B44" s="30"/>
      <c r="C44" s="30"/>
      <c r="D44" s="30"/>
      <c r="E44" s="30"/>
      <c r="F44" s="70"/>
      <c r="G44" s="37"/>
      <c r="H44" s="37"/>
    </row>
    <row r="45" spans="1:8" x14ac:dyDescent="0.45">
      <c r="A45" s="30"/>
      <c r="B45" s="30"/>
      <c r="C45" s="30"/>
      <c r="D45" s="30"/>
      <c r="E45" s="30"/>
      <c r="F45" s="70"/>
      <c r="G45" s="37"/>
      <c r="H45" s="37"/>
    </row>
    <row r="46" spans="1:8" x14ac:dyDescent="0.45">
      <c r="A46" s="30"/>
      <c r="B46" s="30"/>
      <c r="C46" s="30"/>
      <c r="D46" s="30"/>
      <c r="E46" s="30"/>
      <c r="F46" s="70"/>
      <c r="G46" s="37"/>
      <c r="H46" s="37"/>
    </row>
    <row r="47" spans="1:8" x14ac:dyDescent="0.45">
      <c r="A47" s="30"/>
      <c r="B47" s="30"/>
      <c r="C47" s="30"/>
      <c r="D47" s="30"/>
      <c r="E47" s="30"/>
      <c r="F47" s="70"/>
      <c r="G47" s="37"/>
      <c r="H47" s="37"/>
    </row>
    <row r="48" spans="1:8" x14ac:dyDescent="0.45">
      <c r="A48" s="30"/>
      <c r="B48" s="30"/>
      <c r="C48" s="30"/>
      <c r="D48" s="30"/>
      <c r="E48" s="30"/>
      <c r="F48" s="70"/>
      <c r="G48" s="37"/>
      <c r="H48" s="37"/>
    </row>
    <row r="49" spans="1:9" x14ac:dyDescent="0.45">
      <c r="A49" s="150" t="s">
        <v>81</v>
      </c>
      <c r="B49" s="150"/>
      <c r="C49" s="150"/>
      <c r="D49" s="150"/>
      <c r="E49" s="150"/>
      <c r="F49" s="150"/>
      <c r="G49" s="150"/>
      <c r="H49" s="150"/>
      <c r="I49" s="14"/>
    </row>
    <row r="50" spans="1:9" x14ac:dyDescent="0.45">
      <c r="A50" s="37"/>
      <c r="B50" s="37"/>
      <c r="C50" s="37"/>
      <c r="D50" s="37"/>
      <c r="E50" s="37"/>
      <c r="F50" s="37"/>
      <c r="G50" s="37"/>
      <c r="H50" s="37"/>
    </row>
    <row r="51" spans="1:9" ht="25.05" customHeight="1" x14ac:dyDescent="0.45">
      <c r="A51" s="71" t="s">
        <v>78</v>
      </c>
      <c r="B51" s="72"/>
      <c r="C51" s="37"/>
      <c r="D51" s="37"/>
      <c r="E51" s="37"/>
      <c r="F51" s="37"/>
      <c r="G51" s="37"/>
      <c r="H51" s="37"/>
    </row>
    <row r="52" spans="1:9" ht="25.05" customHeight="1" x14ac:dyDescent="0.45">
      <c r="A52" s="71" t="s">
        <v>82</v>
      </c>
      <c r="B52" s="19"/>
    </row>
    <row r="55" spans="1:9" x14ac:dyDescent="0.45">
      <c r="A55" s="126" t="s">
        <v>99</v>
      </c>
      <c r="B55" s="126"/>
      <c r="C55" s="126"/>
      <c r="D55" s="126"/>
      <c r="E55" s="126"/>
      <c r="F55" s="126"/>
      <c r="G55" s="37"/>
      <c r="H55" s="37"/>
    </row>
    <row r="56" spans="1:9" x14ac:dyDescent="0.45">
      <c r="A56" s="73" t="s">
        <v>83</v>
      </c>
      <c r="B56" s="74" t="s">
        <v>84</v>
      </c>
      <c r="C56" s="74" t="s">
        <v>85</v>
      </c>
      <c r="D56" s="74" t="s">
        <v>86</v>
      </c>
      <c r="E56" s="74" t="s">
        <v>87</v>
      </c>
      <c r="F56" s="75"/>
      <c r="G56" s="37"/>
      <c r="H56" s="37"/>
    </row>
    <row r="57" spans="1:9" x14ac:dyDescent="0.45">
      <c r="A57" s="69"/>
      <c r="B57" s="69"/>
      <c r="C57" s="69"/>
      <c r="D57" s="69"/>
      <c r="E57" s="69"/>
      <c r="F57" s="37"/>
      <c r="G57" s="37"/>
      <c r="H57" s="37"/>
    </row>
    <row r="58" spans="1:9" x14ac:dyDescent="0.45">
      <c r="A58" s="69"/>
      <c r="B58" s="69"/>
      <c r="C58" s="69"/>
      <c r="D58" s="69"/>
      <c r="E58" s="69"/>
      <c r="F58" s="37"/>
      <c r="G58" s="37"/>
      <c r="H58" s="37"/>
    </row>
    <row r="59" spans="1:9" x14ac:dyDescent="0.45">
      <c r="A59" s="69"/>
      <c r="B59" s="69"/>
      <c r="C59" s="69"/>
      <c r="D59" s="69"/>
      <c r="E59" s="69"/>
      <c r="F59" s="37"/>
      <c r="G59" s="37"/>
      <c r="H59" s="37"/>
    </row>
    <row r="60" spans="1:9" x14ac:dyDescent="0.45">
      <c r="A60" s="69"/>
      <c r="B60" s="69"/>
      <c r="C60" s="69"/>
      <c r="D60" s="69"/>
      <c r="E60" s="69"/>
      <c r="F60" s="37"/>
      <c r="G60" s="37"/>
      <c r="H60" s="37"/>
    </row>
    <row r="61" spans="1:9" x14ac:dyDescent="0.45">
      <c r="A61" s="69"/>
      <c r="B61" s="69"/>
      <c r="C61" s="69"/>
      <c r="D61" s="69"/>
      <c r="E61" s="69"/>
      <c r="F61" s="37"/>
      <c r="G61" s="37"/>
      <c r="H61" s="37"/>
    </row>
    <row r="62" spans="1:9" x14ac:dyDescent="0.45">
      <c r="A62" s="69"/>
      <c r="B62" s="69"/>
      <c r="C62" s="69"/>
      <c r="D62" s="69"/>
      <c r="E62" s="69"/>
      <c r="F62" s="37"/>
      <c r="G62" s="37"/>
      <c r="H62" s="37"/>
    </row>
    <row r="63" spans="1:9" x14ac:dyDescent="0.45">
      <c r="A63" s="69"/>
      <c r="B63" s="69"/>
      <c r="C63" s="69"/>
      <c r="D63" s="69"/>
      <c r="E63" s="69"/>
      <c r="F63" s="37"/>
      <c r="G63" s="37"/>
      <c r="H63" s="37"/>
    </row>
    <row r="64" spans="1:9" x14ac:dyDescent="0.45">
      <c r="A64" s="69"/>
      <c r="B64" s="69"/>
      <c r="C64" s="69"/>
      <c r="D64" s="69"/>
      <c r="E64" s="69"/>
      <c r="F64" s="37"/>
      <c r="G64" s="37"/>
      <c r="H64" s="37"/>
    </row>
    <row r="65" spans="1:8" x14ac:dyDescent="0.45">
      <c r="A65" s="69"/>
      <c r="B65" s="69"/>
      <c r="C65" s="69"/>
      <c r="D65" s="69"/>
      <c r="E65" s="69"/>
      <c r="F65" s="37"/>
      <c r="G65" s="37"/>
      <c r="H65" s="37"/>
    </row>
    <row r="66" spans="1:8" x14ac:dyDescent="0.45">
      <c r="A66" s="69"/>
      <c r="B66" s="69"/>
      <c r="C66" s="69"/>
      <c r="D66" s="69"/>
      <c r="E66" s="69"/>
      <c r="F66" s="37"/>
      <c r="G66" s="37"/>
      <c r="H66" s="37"/>
    </row>
    <row r="67" spans="1:8" x14ac:dyDescent="0.45">
      <c r="A67" s="69"/>
      <c r="B67" s="69"/>
      <c r="C67" s="69"/>
      <c r="D67" s="69"/>
      <c r="E67" s="69"/>
      <c r="F67" s="37"/>
      <c r="G67" s="37"/>
      <c r="H67" s="37"/>
    </row>
    <row r="68" spans="1:8" x14ac:dyDescent="0.45">
      <c r="A68" s="69"/>
      <c r="B68" s="69"/>
      <c r="C68" s="69"/>
      <c r="D68" s="69"/>
      <c r="E68" s="69"/>
      <c r="F68" s="37"/>
      <c r="G68" s="37"/>
      <c r="H68" s="37"/>
    </row>
    <row r="69" spans="1:8" x14ac:dyDescent="0.45">
      <c r="A69" s="69"/>
      <c r="B69" s="69"/>
      <c r="C69" s="69"/>
      <c r="D69" s="69"/>
      <c r="E69" s="69"/>
      <c r="F69" s="37"/>
      <c r="G69" s="37"/>
      <c r="H69" s="37"/>
    </row>
    <row r="70" spans="1:8" x14ac:dyDescent="0.45">
      <c r="A70" s="69"/>
      <c r="B70" s="69"/>
      <c r="C70" s="69"/>
      <c r="D70" s="69"/>
      <c r="E70" s="69"/>
      <c r="F70" s="37"/>
      <c r="G70" s="37"/>
      <c r="H70" s="37"/>
    </row>
    <row r="71" spans="1:8" x14ac:dyDescent="0.45">
      <c r="A71" s="69"/>
      <c r="B71" s="69"/>
      <c r="C71" s="69"/>
      <c r="D71" s="69"/>
      <c r="E71" s="69"/>
      <c r="F71" s="37"/>
      <c r="G71" s="37"/>
      <c r="H71" s="37"/>
    </row>
    <row r="72" spans="1:8" x14ac:dyDescent="0.45">
      <c r="A72" s="30"/>
      <c r="B72" s="30"/>
      <c r="C72" s="30"/>
      <c r="D72" s="30"/>
      <c r="E72" s="30"/>
      <c r="F72" s="37"/>
      <c r="G72" s="37"/>
      <c r="H72" s="37"/>
    </row>
    <row r="73" spans="1:8" x14ac:dyDescent="0.45">
      <c r="A73" s="30"/>
      <c r="B73" s="30"/>
      <c r="C73" s="30"/>
      <c r="D73" s="30"/>
      <c r="E73" s="30"/>
      <c r="F73" s="37"/>
      <c r="G73" s="37"/>
      <c r="H73" s="37"/>
    </row>
    <row r="74" spans="1:8" x14ac:dyDescent="0.45">
      <c r="A74" s="30"/>
      <c r="B74" s="30"/>
      <c r="C74" s="30"/>
      <c r="D74" s="30"/>
      <c r="E74" s="30"/>
      <c r="F74" s="37"/>
      <c r="G74" s="37"/>
      <c r="H74" s="37"/>
    </row>
    <row r="75" spans="1:8" x14ac:dyDescent="0.45">
      <c r="A75" s="30"/>
      <c r="B75" s="30"/>
      <c r="C75" s="30"/>
      <c r="D75" s="30"/>
      <c r="E75" s="30"/>
      <c r="F75" s="37"/>
      <c r="G75" s="37"/>
      <c r="H75" s="37"/>
    </row>
    <row r="76" spans="1:8" x14ac:dyDescent="0.45">
      <c r="A76" s="30"/>
      <c r="B76" s="30"/>
      <c r="C76" s="30"/>
      <c r="D76" s="30"/>
      <c r="E76" s="30"/>
      <c r="F76" s="37"/>
      <c r="G76" s="37"/>
      <c r="H76" s="37"/>
    </row>
    <row r="77" spans="1:8" x14ac:dyDescent="0.45">
      <c r="A77" s="37"/>
      <c r="B77" s="37"/>
      <c r="C77" s="37"/>
      <c r="D77" s="37"/>
      <c r="E77" s="37"/>
      <c r="F77" s="37"/>
      <c r="G77" s="37"/>
      <c r="H77" s="37"/>
    </row>
    <row r="78" spans="1:8" x14ac:dyDescent="0.45">
      <c r="A78" s="37"/>
      <c r="B78" s="37"/>
      <c r="C78" s="37"/>
      <c r="D78" s="37"/>
      <c r="E78" s="37"/>
      <c r="F78" s="37"/>
      <c r="G78" s="37"/>
      <c r="H78" s="37"/>
    </row>
    <row r="79" spans="1:8" x14ac:dyDescent="0.45">
      <c r="A79" s="37"/>
      <c r="B79" s="37"/>
      <c r="C79" s="37"/>
      <c r="D79" s="37"/>
      <c r="E79" s="37"/>
      <c r="F79" s="37"/>
      <c r="G79" s="37"/>
      <c r="H79" s="37"/>
    </row>
    <row r="80" spans="1:8" x14ac:dyDescent="0.45">
      <c r="A80" s="37"/>
      <c r="B80" s="37"/>
      <c r="C80" s="37"/>
      <c r="D80" s="37"/>
      <c r="E80" s="37"/>
      <c r="F80" s="37"/>
      <c r="G80" s="37"/>
      <c r="H80" s="37"/>
    </row>
    <row r="81" spans="1:8" x14ac:dyDescent="0.45">
      <c r="A81" s="37"/>
      <c r="B81" s="37"/>
      <c r="C81" s="37"/>
      <c r="D81" s="37"/>
      <c r="E81" s="37"/>
      <c r="F81" s="37"/>
      <c r="G81" s="37"/>
      <c r="H81" s="37"/>
    </row>
    <row r="82" spans="1:8" x14ac:dyDescent="0.45">
      <c r="A82" s="150" t="s">
        <v>155</v>
      </c>
      <c r="B82" s="150"/>
      <c r="C82" s="150"/>
      <c r="D82" s="150"/>
      <c r="E82" s="150"/>
      <c r="F82" s="150"/>
      <c r="G82" s="150"/>
      <c r="H82" s="150"/>
    </row>
    <row r="83" spans="1:8" ht="22.8" customHeight="1" x14ac:dyDescent="0.45">
      <c r="A83" s="151" t="s">
        <v>105</v>
      </c>
      <c r="B83" s="152"/>
      <c r="C83" s="151" t="s">
        <v>106</v>
      </c>
      <c r="D83" s="152"/>
      <c r="E83" s="151" t="s">
        <v>107</v>
      </c>
      <c r="F83" s="152"/>
      <c r="G83" s="151" t="s">
        <v>90</v>
      </c>
      <c r="H83" s="152"/>
    </row>
    <row r="84" spans="1:8" x14ac:dyDescent="0.45">
      <c r="A84" s="54" t="s">
        <v>88</v>
      </c>
      <c r="B84" s="54" t="s">
        <v>89</v>
      </c>
      <c r="C84" s="54" t="s">
        <v>88</v>
      </c>
      <c r="D84" s="54" t="s">
        <v>89</v>
      </c>
      <c r="E84" s="54" t="s">
        <v>88</v>
      </c>
      <c r="F84" s="54" t="s">
        <v>89</v>
      </c>
      <c r="G84" s="54" t="s">
        <v>88</v>
      </c>
      <c r="H84" s="54" t="s">
        <v>89</v>
      </c>
    </row>
    <row r="85" spans="1:8" x14ac:dyDescent="0.45">
      <c r="A85" s="21"/>
      <c r="B85" s="21"/>
      <c r="C85" s="21"/>
      <c r="D85" s="21"/>
      <c r="E85" s="21"/>
      <c r="F85" s="21"/>
      <c r="G85" s="21"/>
      <c r="H85" s="21"/>
    </row>
    <row r="86" spans="1:8" x14ac:dyDescent="0.45">
      <c r="A86" s="21"/>
      <c r="B86" s="21"/>
      <c r="C86" s="21"/>
      <c r="D86" s="21"/>
      <c r="E86" s="21"/>
      <c r="F86" s="21"/>
      <c r="G86" s="21"/>
      <c r="H86" s="21"/>
    </row>
    <row r="87" spans="1:8" x14ac:dyDescent="0.45">
      <c r="A87" s="21"/>
      <c r="B87" s="21"/>
      <c r="C87" s="21"/>
      <c r="D87" s="21"/>
      <c r="E87" s="21"/>
      <c r="F87" s="21"/>
      <c r="G87" s="21"/>
      <c r="H87" s="21"/>
    </row>
    <row r="88" spans="1:8" x14ac:dyDescent="0.45">
      <c r="A88" s="21"/>
      <c r="B88" s="21"/>
      <c r="C88" s="21"/>
      <c r="D88" s="21"/>
      <c r="E88" s="21"/>
      <c r="F88" s="21"/>
      <c r="G88" s="21"/>
      <c r="H88" s="21"/>
    </row>
    <row r="89" spans="1:8" x14ac:dyDescent="0.45">
      <c r="A89" s="21"/>
      <c r="B89" s="21"/>
      <c r="C89" s="21"/>
      <c r="D89" s="21"/>
      <c r="E89" s="21"/>
      <c r="F89" s="21"/>
      <c r="G89" s="21"/>
      <c r="H89" s="21"/>
    </row>
    <row r="90" spans="1:8" x14ac:dyDescent="0.45">
      <c r="A90" s="21"/>
      <c r="B90" s="21"/>
      <c r="C90" s="21"/>
      <c r="D90" s="21"/>
      <c r="E90" s="21"/>
      <c r="F90" s="21"/>
      <c r="G90" s="21"/>
      <c r="H90" s="21"/>
    </row>
    <row r="91" spans="1:8" x14ac:dyDescent="0.45">
      <c r="A91" s="21"/>
      <c r="B91" s="21"/>
      <c r="C91" s="21"/>
      <c r="D91" s="21"/>
      <c r="E91" s="21"/>
      <c r="F91" s="21"/>
      <c r="G91" s="21"/>
      <c r="H91" s="21"/>
    </row>
    <row r="92" spans="1:8" x14ac:dyDescent="0.45">
      <c r="A92" s="21"/>
      <c r="B92" s="21"/>
      <c r="C92" s="21"/>
      <c r="D92" s="21"/>
      <c r="E92" s="21"/>
      <c r="F92" s="21"/>
      <c r="G92" s="21"/>
      <c r="H92" s="21"/>
    </row>
    <row r="93" spans="1:8" x14ac:dyDescent="0.45">
      <c r="A93" s="21"/>
      <c r="B93" s="21"/>
      <c r="C93" s="21"/>
      <c r="D93" s="21"/>
      <c r="E93" s="21"/>
      <c r="F93" s="21"/>
      <c r="G93" s="21"/>
      <c r="H93" s="21"/>
    </row>
    <row r="94" spans="1:8" x14ac:dyDescent="0.45">
      <c r="A94" s="21"/>
      <c r="B94" s="21"/>
      <c r="C94" s="21"/>
      <c r="D94" s="21"/>
      <c r="E94" s="21"/>
      <c r="F94" s="21"/>
      <c r="G94" s="21"/>
      <c r="H94" s="21"/>
    </row>
    <row r="95" spans="1:8" x14ac:dyDescent="0.45">
      <c r="A95" s="21"/>
      <c r="B95" s="21"/>
      <c r="C95" s="21"/>
      <c r="D95" s="21"/>
      <c r="E95" s="21"/>
      <c r="F95" s="21"/>
      <c r="G95" s="21"/>
      <c r="H95" s="21"/>
    </row>
    <row r="96" spans="1:8" x14ac:dyDescent="0.45">
      <c r="A96" s="21"/>
      <c r="B96" s="21"/>
      <c r="C96" s="21"/>
      <c r="D96" s="21"/>
      <c r="E96" s="21"/>
      <c r="F96" s="21"/>
      <c r="G96" s="21"/>
      <c r="H96" s="21"/>
    </row>
    <row r="97" spans="1:8" x14ac:dyDescent="0.45">
      <c r="A97" s="21"/>
      <c r="B97" s="21"/>
      <c r="C97" s="21"/>
      <c r="D97" s="21"/>
      <c r="E97" s="21"/>
      <c r="F97" s="21"/>
      <c r="G97" s="21"/>
      <c r="H97" s="21"/>
    </row>
    <row r="98" spans="1:8" x14ac:dyDescent="0.45">
      <c r="A98" s="21"/>
      <c r="B98" s="21"/>
      <c r="C98" s="21"/>
      <c r="D98" s="21"/>
      <c r="E98" s="21"/>
      <c r="F98" s="21"/>
      <c r="G98" s="21"/>
      <c r="H98" s="21"/>
    </row>
    <row r="99" spans="1:8" x14ac:dyDescent="0.45">
      <c r="A99" s="21"/>
      <c r="B99" s="21"/>
      <c r="C99" s="21"/>
      <c r="D99" s="21"/>
      <c r="E99" s="21"/>
      <c r="F99" s="21"/>
      <c r="G99" s="21"/>
      <c r="H99" s="21"/>
    </row>
    <row r="100" spans="1:8" x14ac:dyDescent="0.45">
      <c r="A100" s="21"/>
      <c r="B100" s="21"/>
      <c r="C100" s="21"/>
      <c r="D100" s="21"/>
      <c r="E100" s="21"/>
      <c r="F100" s="21"/>
      <c r="G100" s="21"/>
      <c r="H100" s="21"/>
    </row>
    <row r="101" spans="1:8" x14ac:dyDescent="0.45">
      <c r="A101" s="21"/>
      <c r="B101" s="21"/>
      <c r="C101" s="21"/>
      <c r="D101" s="21"/>
      <c r="E101" s="21"/>
      <c r="F101" s="21"/>
      <c r="G101" s="21"/>
      <c r="H101" s="21"/>
    </row>
    <row r="102" spans="1:8" x14ac:dyDescent="0.45">
      <c r="A102" s="21"/>
      <c r="B102" s="21"/>
      <c r="C102" s="21"/>
      <c r="D102" s="21"/>
      <c r="E102" s="21"/>
      <c r="F102" s="21"/>
      <c r="G102" s="21"/>
      <c r="H102" s="21"/>
    </row>
    <row r="103" spans="1:8" x14ac:dyDescent="0.45">
      <c r="A103" s="21"/>
      <c r="B103" s="21"/>
      <c r="C103" s="21"/>
      <c r="D103" s="21"/>
      <c r="E103" s="21"/>
      <c r="F103" s="21"/>
      <c r="G103" s="21"/>
      <c r="H103" s="21"/>
    </row>
    <row r="104" spans="1:8" x14ac:dyDescent="0.45">
      <c r="A104" s="21"/>
      <c r="B104" s="21"/>
      <c r="C104" s="21"/>
      <c r="D104" s="21"/>
      <c r="E104" s="21"/>
      <c r="F104" s="21"/>
      <c r="G104" s="21"/>
      <c r="H104" s="21"/>
    </row>
    <row r="105" spans="1:8" x14ac:dyDescent="0.45">
      <c r="A105" s="21"/>
      <c r="B105" s="21"/>
      <c r="C105" s="21"/>
      <c r="D105" s="21"/>
      <c r="E105" s="21"/>
      <c r="F105" s="21"/>
      <c r="G105" s="21"/>
      <c r="H105" s="21"/>
    </row>
    <row r="106" spans="1:8" x14ac:dyDescent="0.45">
      <c r="A106" s="21"/>
      <c r="B106" s="21"/>
      <c r="C106" s="21"/>
      <c r="D106" s="21"/>
      <c r="E106" s="21"/>
      <c r="F106" s="21"/>
      <c r="G106" s="21"/>
      <c r="H106" s="21"/>
    </row>
    <row r="107" spans="1:8" x14ac:dyDescent="0.45">
      <c r="A107" s="21"/>
      <c r="B107" s="21"/>
      <c r="C107" s="21"/>
      <c r="D107" s="21"/>
      <c r="E107" s="21"/>
      <c r="F107" s="21"/>
      <c r="G107" s="21"/>
      <c r="H107" s="21"/>
    </row>
    <row r="108" spans="1:8" x14ac:dyDescent="0.45">
      <c r="A108" s="21"/>
      <c r="B108" s="21"/>
      <c r="C108" s="21"/>
      <c r="D108" s="21"/>
      <c r="E108" s="21"/>
      <c r="F108" s="21"/>
      <c r="G108" s="21"/>
      <c r="H108" s="21"/>
    </row>
    <row r="109" spans="1:8" x14ac:dyDescent="0.45">
      <c r="A109" s="21"/>
      <c r="B109" s="21"/>
      <c r="C109" s="21"/>
      <c r="D109" s="21"/>
      <c r="E109" s="21"/>
      <c r="F109" s="21"/>
      <c r="G109" s="21"/>
      <c r="H109" s="21"/>
    </row>
    <row r="110" spans="1:8" x14ac:dyDescent="0.45">
      <c r="A110" s="21"/>
      <c r="B110" s="21"/>
      <c r="C110" s="21"/>
      <c r="D110" s="21"/>
      <c r="E110" s="21"/>
      <c r="F110" s="21"/>
      <c r="G110" s="21"/>
      <c r="H110" s="21"/>
    </row>
    <row r="111" spans="1:8" x14ac:dyDescent="0.45">
      <c r="A111" s="21"/>
      <c r="B111" s="21"/>
      <c r="C111" s="21"/>
      <c r="D111" s="21"/>
      <c r="E111" s="21"/>
      <c r="F111" s="21"/>
      <c r="G111" s="21"/>
      <c r="H111" s="21"/>
    </row>
    <row r="112" spans="1:8" x14ac:dyDescent="0.45">
      <c r="A112" s="21"/>
      <c r="B112" s="21"/>
      <c r="C112" s="21"/>
      <c r="D112" s="21"/>
      <c r="E112" s="21"/>
      <c r="F112" s="21"/>
      <c r="G112" s="21"/>
      <c r="H112" s="21"/>
    </row>
    <row r="113" spans="1:8" x14ac:dyDescent="0.45">
      <c r="A113" s="21"/>
      <c r="B113" s="21"/>
      <c r="C113" s="21"/>
      <c r="D113" s="21"/>
      <c r="E113" s="21"/>
      <c r="F113" s="21"/>
      <c r="G113" s="21"/>
      <c r="H113" s="21"/>
    </row>
    <row r="114" spans="1:8" x14ac:dyDescent="0.45">
      <c r="A114" s="21"/>
      <c r="B114" s="21"/>
      <c r="C114" s="21"/>
      <c r="D114" s="21"/>
      <c r="E114" s="21"/>
      <c r="F114" s="21"/>
      <c r="G114" s="21"/>
      <c r="H114" s="21"/>
    </row>
    <row r="115" spans="1:8" x14ac:dyDescent="0.45">
      <c r="A115" s="21"/>
      <c r="B115" s="21"/>
      <c r="C115" s="21"/>
      <c r="D115" s="21"/>
      <c r="E115" s="21"/>
      <c r="F115" s="21"/>
      <c r="G115" s="21"/>
      <c r="H115" s="21"/>
    </row>
    <row r="116" spans="1:8" x14ac:dyDescent="0.45">
      <c r="A116" s="21"/>
      <c r="B116" s="21"/>
      <c r="C116" s="21"/>
      <c r="D116" s="21"/>
      <c r="E116" s="21"/>
      <c r="F116" s="21"/>
      <c r="G116" s="21"/>
      <c r="H116" s="21"/>
    </row>
    <row r="117" spans="1:8" x14ac:dyDescent="0.45">
      <c r="A117" s="21"/>
      <c r="B117" s="21"/>
      <c r="C117" s="21"/>
      <c r="D117" s="21"/>
      <c r="E117" s="21"/>
      <c r="F117" s="21"/>
      <c r="G117" s="21"/>
      <c r="H117" s="21"/>
    </row>
    <row r="118" spans="1:8" x14ac:dyDescent="0.45">
      <c r="A118" s="21"/>
      <c r="B118" s="21"/>
      <c r="C118" s="21"/>
      <c r="D118" s="21"/>
      <c r="E118" s="21"/>
      <c r="F118" s="21"/>
      <c r="G118" s="21"/>
      <c r="H118" s="21"/>
    </row>
    <row r="119" spans="1:8" x14ac:dyDescent="0.45">
      <c r="A119" s="21"/>
      <c r="B119" s="21"/>
      <c r="C119" s="21"/>
      <c r="D119" s="21"/>
      <c r="E119" s="21"/>
      <c r="F119" s="21"/>
      <c r="G119" s="21"/>
      <c r="H119" s="21"/>
    </row>
    <row r="120" spans="1:8" x14ac:dyDescent="0.45">
      <c r="A120" s="21"/>
      <c r="B120" s="21"/>
      <c r="C120" s="21"/>
      <c r="D120" s="21"/>
      <c r="E120" s="21"/>
      <c r="F120" s="21"/>
      <c r="G120" s="21"/>
      <c r="H120" s="21"/>
    </row>
    <row r="121" spans="1:8" x14ac:dyDescent="0.45">
      <c r="A121" s="20"/>
      <c r="B121" s="20"/>
      <c r="C121" s="20"/>
      <c r="D121" s="20"/>
      <c r="E121" s="20"/>
      <c r="F121" s="20"/>
      <c r="G121" s="20"/>
      <c r="H121" s="20"/>
    </row>
    <row r="122" spans="1:8" x14ac:dyDescent="0.45">
      <c r="A122" s="20"/>
      <c r="B122" s="20"/>
      <c r="C122" s="20"/>
      <c r="D122" s="20"/>
      <c r="E122" s="20"/>
      <c r="F122" s="20"/>
      <c r="G122" s="20"/>
      <c r="H122" s="20"/>
    </row>
    <row r="123" spans="1:8" x14ac:dyDescent="0.45">
      <c r="A123" s="20"/>
      <c r="B123" s="20"/>
      <c r="C123" s="20"/>
      <c r="D123" s="20"/>
      <c r="E123" s="20"/>
      <c r="F123" s="20"/>
      <c r="G123" s="20"/>
      <c r="H123" s="20"/>
    </row>
    <row r="124" spans="1:8" x14ac:dyDescent="0.45">
      <c r="A124" s="20"/>
      <c r="B124" s="20"/>
      <c r="C124" s="20"/>
      <c r="D124" s="20"/>
      <c r="E124" s="20"/>
      <c r="F124" s="20"/>
      <c r="G124" s="20"/>
      <c r="H124" s="20"/>
    </row>
    <row r="125" spans="1:8" x14ac:dyDescent="0.45">
      <c r="A125" s="20"/>
      <c r="B125" s="20"/>
      <c r="C125" s="20"/>
      <c r="D125" s="20"/>
      <c r="E125" s="20"/>
      <c r="F125" s="20"/>
      <c r="G125" s="20"/>
      <c r="H125" s="20"/>
    </row>
    <row r="126" spans="1:8" x14ac:dyDescent="0.45">
      <c r="A126" s="20"/>
      <c r="B126" s="20"/>
      <c r="C126" s="20"/>
      <c r="D126" s="20"/>
      <c r="E126" s="20"/>
      <c r="F126" s="20"/>
      <c r="G126" s="20"/>
      <c r="H126" s="20"/>
    </row>
    <row r="127" spans="1:8" x14ac:dyDescent="0.45">
      <c r="A127" s="20"/>
      <c r="B127" s="20"/>
      <c r="C127" s="20"/>
      <c r="D127" s="20"/>
      <c r="E127" s="20"/>
      <c r="F127" s="20"/>
      <c r="G127" s="20"/>
      <c r="H127" s="20"/>
    </row>
    <row r="128" spans="1:8" x14ac:dyDescent="0.45">
      <c r="A128" s="20"/>
      <c r="B128" s="20"/>
      <c r="C128" s="20"/>
      <c r="D128" s="20"/>
      <c r="E128" s="20"/>
      <c r="F128" s="20"/>
      <c r="G128" s="20"/>
      <c r="H128" s="20"/>
    </row>
    <row r="129" spans="1:8" x14ac:dyDescent="0.45">
      <c r="A129" s="20"/>
      <c r="B129" s="20"/>
      <c r="C129" s="20"/>
      <c r="D129" s="20"/>
      <c r="E129" s="20"/>
      <c r="F129" s="20"/>
      <c r="G129" s="20"/>
      <c r="H129" s="20"/>
    </row>
    <row r="130" spans="1:8" x14ac:dyDescent="0.45">
      <c r="A130" s="20"/>
      <c r="B130" s="20"/>
      <c r="C130" s="20"/>
      <c r="D130" s="20"/>
      <c r="E130" s="20"/>
      <c r="F130" s="20"/>
      <c r="G130" s="20"/>
      <c r="H130" s="20"/>
    </row>
    <row r="131" spans="1:8" x14ac:dyDescent="0.45">
      <c r="A131" s="20"/>
      <c r="B131" s="20"/>
      <c r="C131" s="20"/>
      <c r="D131" s="20"/>
      <c r="E131" s="20"/>
      <c r="F131" s="20"/>
      <c r="G131" s="20"/>
      <c r="H131" s="20"/>
    </row>
  </sheetData>
  <sheetProtection algorithmName="SHA-512" hashValue="qBxOHB9iRy3NLT9+FGAR/zNTofrT4zq5AxSctJzct47bIxQ2T7+qDjBXSBp8RFgFwdhwVKOGStz9g8OvxU80OA==" saltValue="KM/tCCcuDf+4pLfKuW+6NQ==" spinCount="100000" sheet="1" objects="1" scenarios="1"/>
  <mergeCells count="11">
    <mergeCell ref="K2:R12"/>
    <mergeCell ref="A1:H1"/>
    <mergeCell ref="A5:H5"/>
    <mergeCell ref="A83:B83"/>
    <mergeCell ref="C83:D83"/>
    <mergeCell ref="E83:F83"/>
    <mergeCell ref="G83:H83"/>
    <mergeCell ref="A82:H82"/>
    <mergeCell ref="A26:F26"/>
    <mergeCell ref="A55:F55"/>
    <mergeCell ref="A49:H49"/>
  </mergeCells>
  <phoneticPr fontId="17" type="noConversion"/>
  <dataValidations count="4">
    <dataValidation type="list" allowBlank="1" showInputMessage="1" showErrorMessage="1" sqref="B52" xr:uid="{6EAFC347-CE2E-4CA2-AFF4-3AC407DBD512}">
      <formula1>"Level 2 - Basic, Level 3 - Progressed, Level 4 - Optimised, Level 5 - Proactively optimised, Level 6 - Perfected"</formula1>
    </dataValidation>
    <dataValidation type="list" allowBlank="1" showInputMessage="1" showErrorMessage="1" sqref="C7:C12" xr:uid="{FC1BF012-3BEF-44FA-802F-C61B3B08B91C}">
      <formula1>"Level 1 - Beginner, Level 2 - Intermediate, Level 3 - Advanced, "</formula1>
    </dataValidation>
    <dataValidation type="list" allowBlank="1" showInputMessage="1" showErrorMessage="1" sqref="A85:A120 C85:C120 E85:E120 G85:G120" xr:uid="{FFFCA297-E379-49D9-AF5C-10F96C62E9F1}">
      <formula1>PracticeListNoEmpty</formula1>
    </dataValidation>
    <dataValidation type="list" allowBlank="1" showInputMessage="1" showErrorMessage="1" sqref="B85:B120 D85:D120 F85:F120 H85:H120" xr:uid="{AEFFC246-2B91-4D52-9ABF-B4824868713C}">
      <formula1>"Not at all, Partially, Mostly, Completely"</formula1>
    </dataValidation>
  </dataValidations>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DD206-1FBC-4E8E-9E73-AADEBB19C780}">
  <sheetPr codeName="Blad9"/>
  <dimension ref="A1:B251"/>
  <sheetViews>
    <sheetView workbookViewId="0">
      <selection activeCell="B1" sqref="B1"/>
    </sheetView>
  </sheetViews>
  <sheetFormatPr defaultRowHeight="14.25" x14ac:dyDescent="0.45"/>
  <cols>
    <col min="1" max="1" width="8.86328125"/>
  </cols>
  <sheetData>
    <row r="1" spans="1:2" x14ac:dyDescent="0.45">
      <c r="A1" s="5">
        <f>'Process improvement'!A28</f>
        <v>0</v>
      </c>
      <c r="B1" t="e" cm="1" vm="1">
        <f t="array" ref="B1">_xlfn.UNIQUE(_xlfn._xlws.FILTER(A1:A251,A1:A251&lt;&gt;0))</f>
        <v>#VALUE!</v>
      </c>
    </row>
    <row r="2" spans="1:2" x14ac:dyDescent="0.45">
      <c r="A2" s="5">
        <f>'Process improvement'!A29</f>
        <v>0</v>
      </c>
    </row>
    <row r="3" spans="1:2" x14ac:dyDescent="0.45">
      <c r="A3" s="5">
        <f>'Process improvement'!A30</f>
        <v>0</v>
      </c>
    </row>
    <row r="4" spans="1:2" x14ac:dyDescent="0.45">
      <c r="A4" s="5">
        <f>'Process improvement'!A31</f>
        <v>0</v>
      </c>
    </row>
    <row r="5" spans="1:2" x14ac:dyDescent="0.45">
      <c r="A5" s="5">
        <f>'Process improvement'!A32</f>
        <v>0</v>
      </c>
    </row>
    <row r="6" spans="1:2" x14ac:dyDescent="0.45">
      <c r="A6" s="5">
        <f>'Process improvement'!A33</f>
        <v>0</v>
      </c>
    </row>
    <row r="7" spans="1:2" x14ac:dyDescent="0.45">
      <c r="A7" s="5">
        <f>'Process improvement'!A34</f>
        <v>0</v>
      </c>
    </row>
    <row r="8" spans="1:2" x14ac:dyDescent="0.45">
      <c r="A8" s="5">
        <f>'Process improvement'!A35</f>
        <v>0</v>
      </c>
    </row>
    <row r="9" spans="1:2" x14ac:dyDescent="0.45">
      <c r="A9" s="5">
        <f>'Process improvement'!A36</f>
        <v>0</v>
      </c>
    </row>
    <row r="10" spans="1:2" x14ac:dyDescent="0.45">
      <c r="A10" s="5">
        <f>'Process improvement'!A37</f>
        <v>0</v>
      </c>
    </row>
    <row r="11" spans="1:2" x14ac:dyDescent="0.45">
      <c r="A11" s="5">
        <f>'Process improvement'!A38</f>
        <v>0</v>
      </c>
    </row>
    <row r="12" spans="1:2" x14ac:dyDescent="0.45">
      <c r="A12" s="5">
        <f>'Process improvement'!A39</f>
        <v>0</v>
      </c>
    </row>
    <row r="13" spans="1:2" x14ac:dyDescent="0.45">
      <c r="A13" s="5">
        <f>'Process improvement'!A40</f>
        <v>0</v>
      </c>
    </row>
    <row r="14" spans="1:2" x14ac:dyDescent="0.45">
      <c r="A14" s="5">
        <f>'Process improvement'!A41</f>
        <v>0</v>
      </c>
    </row>
    <row r="15" spans="1:2" x14ac:dyDescent="0.45">
      <c r="A15" s="5">
        <f>'Process improvement'!A42</f>
        <v>0</v>
      </c>
    </row>
    <row r="16" spans="1:2" x14ac:dyDescent="0.45">
      <c r="A16" s="5">
        <f>'Process improvement'!A43</f>
        <v>0</v>
      </c>
    </row>
    <row r="17" spans="1:1" x14ac:dyDescent="0.45">
      <c r="A17" s="5">
        <f>'Process improvement'!A44</f>
        <v>0</v>
      </c>
    </row>
    <row r="18" spans="1:1" x14ac:dyDescent="0.45">
      <c r="A18" s="5">
        <f>'Process improvement'!A45</f>
        <v>0</v>
      </c>
    </row>
    <row r="19" spans="1:1" x14ac:dyDescent="0.45">
      <c r="A19" s="5">
        <f>'Process improvement'!A46</f>
        <v>0</v>
      </c>
    </row>
    <row r="20" spans="1:1" x14ac:dyDescent="0.45">
      <c r="A20" s="5">
        <f>'Process improvement'!A47</f>
        <v>0</v>
      </c>
    </row>
    <row r="21" spans="1:1" x14ac:dyDescent="0.45">
      <c r="A21" s="5">
        <f>'Process improvement'!A48</f>
        <v>0</v>
      </c>
    </row>
    <row r="22" spans="1:1" x14ac:dyDescent="0.45">
      <c r="A22" s="17">
        <f>'Process improvement'!B28</f>
        <v>0</v>
      </c>
    </row>
    <row r="23" spans="1:1" x14ac:dyDescent="0.45">
      <c r="A23" s="17">
        <f>'Process improvement'!B29</f>
        <v>0</v>
      </c>
    </row>
    <row r="24" spans="1:1" x14ac:dyDescent="0.45">
      <c r="A24" s="17">
        <f>'Process improvement'!B30</f>
        <v>0</v>
      </c>
    </row>
    <row r="25" spans="1:1" x14ac:dyDescent="0.45">
      <c r="A25" s="17">
        <f>'Process improvement'!B31</f>
        <v>0</v>
      </c>
    </row>
    <row r="26" spans="1:1" x14ac:dyDescent="0.45">
      <c r="A26" s="17">
        <f>'Process improvement'!B32</f>
        <v>0</v>
      </c>
    </row>
    <row r="27" spans="1:1" x14ac:dyDescent="0.45">
      <c r="A27" s="17">
        <f>'Process improvement'!B33</f>
        <v>0</v>
      </c>
    </row>
    <row r="28" spans="1:1" x14ac:dyDescent="0.45">
      <c r="A28" s="17">
        <f>'Process improvement'!B34</f>
        <v>0</v>
      </c>
    </row>
    <row r="29" spans="1:1" x14ac:dyDescent="0.45">
      <c r="A29" s="17">
        <f>'Process improvement'!B35</f>
        <v>0</v>
      </c>
    </row>
    <row r="30" spans="1:1" x14ac:dyDescent="0.45">
      <c r="A30" s="17">
        <f>'Process improvement'!B36</f>
        <v>0</v>
      </c>
    </row>
    <row r="31" spans="1:1" x14ac:dyDescent="0.45">
      <c r="A31" s="17">
        <f>'Process improvement'!B37</f>
        <v>0</v>
      </c>
    </row>
    <row r="32" spans="1:1" x14ac:dyDescent="0.45">
      <c r="A32" s="17">
        <f>'Process improvement'!B38</f>
        <v>0</v>
      </c>
    </row>
    <row r="33" spans="1:1" x14ac:dyDescent="0.45">
      <c r="A33" s="17">
        <f>'Process improvement'!B39</f>
        <v>0</v>
      </c>
    </row>
    <row r="34" spans="1:1" x14ac:dyDescent="0.45">
      <c r="A34" s="17">
        <f>'Process improvement'!B40</f>
        <v>0</v>
      </c>
    </row>
    <row r="35" spans="1:1" x14ac:dyDescent="0.45">
      <c r="A35" s="17">
        <f>'Process improvement'!B41</f>
        <v>0</v>
      </c>
    </row>
    <row r="36" spans="1:1" x14ac:dyDescent="0.45">
      <c r="A36" s="17">
        <f>'Process improvement'!B42</f>
        <v>0</v>
      </c>
    </row>
    <row r="37" spans="1:1" x14ac:dyDescent="0.45">
      <c r="A37" s="17">
        <f>'Process improvement'!B43</f>
        <v>0</v>
      </c>
    </row>
    <row r="38" spans="1:1" x14ac:dyDescent="0.45">
      <c r="A38" s="17">
        <f>'Process improvement'!B44</f>
        <v>0</v>
      </c>
    </row>
    <row r="39" spans="1:1" x14ac:dyDescent="0.45">
      <c r="A39" s="17">
        <f>'Process improvement'!B45</f>
        <v>0</v>
      </c>
    </row>
    <row r="40" spans="1:1" x14ac:dyDescent="0.45">
      <c r="A40" s="17">
        <f>'Process improvement'!B46</f>
        <v>0</v>
      </c>
    </row>
    <row r="41" spans="1:1" x14ac:dyDescent="0.45">
      <c r="A41" s="17">
        <f>'Process improvement'!B47</f>
        <v>0</v>
      </c>
    </row>
    <row r="42" spans="1:1" x14ac:dyDescent="0.45">
      <c r="A42" s="17">
        <f>'Process improvement'!B48</f>
        <v>0</v>
      </c>
    </row>
    <row r="43" spans="1:1" x14ac:dyDescent="0.45">
      <c r="A43" s="17">
        <f>'Process improvement'!C28</f>
        <v>0</v>
      </c>
    </row>
    <row r="44" spans="1:1" x14ac:dyDescent="0.45">
      <c r="A44" s="17">
        <f>'Process improvement'!C29</f>
        <v>0</v>
      </c>
    </row>
    <row r="45" spans="1:1" x14ac:dyDescent="0.45">
      <c r="A45" s="17">
        <f>'Process improvement'!C30</f>
        <v>0</v>
      </c>
    </row>
    <row r="46" spans="1:1" x14ac:dyDescent="0.45">
      <c r="A46" s="17">
        <f>'Process improvement'!C31</f>
        <v>0</v>
      </c>
    </row>
    <row r="47" spans="1:1" x14ac:dyDescent="0.45">
      <c r="A47" s="17">
        <f>'Process improvement'!C32</f>
        <v>0</v>
      </c>
    </row>
    <row r="48" spans="1:1" x14ac:dyDescent="0.45">
      <c r="A48" s="17">
        <f>'Process improvement'!C33</f>
        <v>0</v>
      </c>
    </row>
    <row r="49" spans="1:1" x14ac:dyDescent="0.45">
      <c r="A49" s="17">
        <f>'Process improvement'!C34</f>
        <v>0</v>
      </c>
    </row>
    <row r="50" spans="1:1" x14ac:dyDescent="0.45">
      <c r="A50" s="17">
        <f>'Process improvement'!C35</f>
        <v>0</v>
      </c>
    </row>
    <row r="51" spans="1:1" x14ac:dyDescent="0.45">
      <c r="A51" s="17">
        <f>'Process improvement'!C36</f>
        <v>0</v>
      </c>
    </row>
    <row r="52" spans="1:1" x14ac:dyDescent="0.45">
      <c r="A52" s="17">
        <f>'Process improvement'!C37</f>
        <v>0</v>
      </c>
    </row>
    <row r="53" spans="1:1" x14ac:dyDescent="0.45">
      <c r="A53" s="17">
        <f>'Process improvement'!C38</f>
        <v>0</v>
      </c>
    </row>
    <row r="54" spans="1:1" x14ac:dyDescent="0.45">
      <c r="A54" s="17">
        <f>'Process improvement'!C39</f>
        <v>0</v>
      </c>
    </row>
    <row r="55" spans="1:1" x14ac:dyDescent="0.45">
      <c r="A55" s="17">
        <f>'Process improvement'!C40</f>
        <v>0</v>
      </c>
    </row>
    <row r="56" spans="1:1" x14ac:dyDescent="0.45">
      <c r="A56" s="17">
        <f>'Process improvement'!C41</f>
        <v>0</v>
      </c>
    </row>
    <row r="57" spans="1:1" x14ac:dyDescent="0.45">
      <c r="A57" s="17">
        <f>'Process improvement'!C42</f>
        <v>0</v>
      </c>
    </row>
    <row r="58" spans="1:1" x14ac:dyDescent="0.45">
      <c r="A58" s="17">
        <f>'Process improvement'!C43</f>
        <v>0</v>
      </c>
    </row>
    <row r="59" spans="1:1" x14ac:dyDescent="0.45">
      <c r="A59" s="17">
        <f>'Process improvement'!C44</f>
        <v>0</v>
      </c>
    </row>
    <row r="60" spans="1:1" x14ac:dyDescent="0.45">
      <c r="A60" s="17">
        <f>'Process improvement'!C45</f>
        <v>0</v>
      </c>
    </row>
    <row r="61" spans="1:1" x14ac:dyDescent="0.45">
      <c r="A61" s="17">
        <f>'Process improvement'!C46</f>
        <v>0</v>
      </c>
    </row>
    <row r="62" spans="1:1" x14ac:dyDescent="0.45">
      <c r="A62" s="17">
        <f>'Process improvement'!C47</f>
        <v>0</v>
      </c>
    </row>
    <row r="63" spans="1:1" x14ac:dyDescent="0.45">
      <c r="A63" s="17">
        <f>'Process improvement'!C48</f>
        <v>0</v>
      </c>
    </row>
    <row r="64" spans="1:1" x14ac:dyDescent="0.45">
      <c r="A64" s="17">
        <f>'Process improvement'!D28</f>
        <v>0</v>
      </c>
    </row>
    <row r="65" spans="1:1" x14ac:dyDescent="0.45">
      <c r="A65" s="17">
        <f>'Process improvement'!D29</f>
        <v>0</v>
      </c>
    </row>
    <row r="66" spans="1:1" x14ac:dyDescent="0.45">
      <c r="A66" s="17">
        <f>'Process improvement'!D30</f>
        <v>0</v>
      </c>
    </row>
    <row r="67" spans="1:1" x14ac:dyDescent="0.45">
      <c r="A67" s="17">
        <f>'Process improvement'!D31</f>
        <v>0</v>
      </c>
    </row>
    <row r="68" spans="1:1" x14ac:dyDescent="0.45">
      <c r="A68" s="17">
        <f>'Process improvement'!D32</f>
        <v>0</v>
      </c>
    </row>
    <row r="69" spans="1:1" x14ac:dyDescent="0.45">
      <c r="A69" s="17">
        <f>'Process improvement'!D33</f>
        <v>0</v>
      </c>
    </row>
    <row r="70" spans="1:1" x14ac:dyDescent="0.45">
      <c r="A70" s="17">
        <f>'Process improvement'!D34</f>
        <v>0</v>
      </c>
    </row>
    <row r="71" spans="1:1" x14ac:dyDescent="0.45">
      <c r="A71" s="17">
        <f>'Process improvement'!D35</f>
        <v>0</v>
      </c>
    </row>
    <row r="72" spans="1:1" x14ac:dyDescent="0.45">
      <c r="A72" s="17">
        <f>'Process improvement'!D36</f>
        <v>0</v>
      </c>
    </row>
    <row r="73" spans="1:1" x14ac:dyDescent="0.45">
      <c r="A73" s="17">
        <f>'Process improvement'!D37</f>
        <v>0</v>
      </c>
    </row>
    <row r="74" spans="1:1" x14ac:dyDescent="0.45">
      <c r="A74" s="17">
        <f>'Process improvement'!D38</f>
        <v>0</v>
      </c>
    </row>
    <row r="75" spans="1:1" x14ac:dyDescent="0.45">
      <c r="A75" s="17">
        <f>'Process improvement'!D39</f>
        <v>0</v>
      </c>
    </row>
    <row r="76" spans="1:1" x14ac:dyDescent="0.45">
      <c r="A76" s="17">
        <f>'Process improvement'!D40</f>
        <v>0</v>
      </c>
    </row>
    <row r="77" spans="1:1" x14ac:dyDescent="0.45">
      <c r="A77" s="17">
        <f>'Process improvement'!D41</f>
        <v>0</v>
      </c>
    </row>
    <row r="78" spans="1:1" x14ac:dyDescent="0.45">
      <c r="A78" s="17">
        <f>'Process improvement'!D42</f>
        <v>0</v>
      </c>
    </row>
    <row r="79" spans="1:1" x14ac:dyDescent="0.45">
      <c r="A79" s="17">
        <f>'Process improvement'!D43</f>
        <v>0</v>
      </c>
    </row>
    <row r="80" spans="1:1" x14ac:dyDescent="0.45">
      <c r="A80" s="17">
        <f>'Process improvement'!D44</f>
        <v>0</v>
      </c>
    </row>
    <row r="81" spans="1:1" x14ac:dyDescent="0.45">
      <c r="A81" s="17">
        <f>'Process improvement'!D45</f>
        <v>0</v>
      </c>
    </row>
    <row r="82" spans="1:1" x14ac:dyDescent="0.45">
      <c r="A82" s="17">
        <f>'Process improvement'!D46</f>
        <v>0</v>
      </c>
    </row>
    <row r="83" spans="1:1" x14ac:dyDescent="0.45">
      <c r="A83" s="17">
        <f>'Process improvement'!D47</f>
        <v>0</v>
      </c>
    </row>
    <row r="84" spans="1:1" x14ac:dyDescent="0.45">
      <c r="A84" s="17">
        <f>'Process improvement'!D48</f>
        <v>0</v>
      </c>
    </row>
    <row r="85" spans="1:1" x14ac:dyDescent="0.45">
      <c r="A85" s="17">
        <f>'Process improvement'!E28</f>
        <v>0</v>
      </c>
    </row>
    <row r="86" spans="1:1" x14ac:dyDescent="0.45">
      <c r="A86" s="17">
        <f>'Process improvement'!E29</f>
        <v>0</v>
      </c>
    </row>
    <row r="87" spans="1:1" x14ac:dyDescent="0.45">
      <c r="A87" s="17">
        <f>'Process improvement'!E30</f>
        <v>0</v>
      </c>
    </row>
    <row r="88" spans="1:1" x14ac:dyDescent="0.45">
      <c r="A88" s="17">
        <f>'Process improvement'!E31</f>
        <v>0</v>
      </c>
    </row>
    <row r="89" spans="1:1" x14ac:dyDescent="0.45">
      <c r="A89" s="17">
        <f>'Process improvement'!E32</f>
        <v>0</v>
      </c>
    </row>
    <row r="90" spans="1:1" x14ac:dyDescent="0.45">
      <c r="A90" s="17">
        <f>'Process improvement'!E33</f>
        <v>0</v>
      </c>
    </row>
    <row r="91" spans="1:1" x14ac:dyDescent="0.45">
      <c r="A91" s="17">
        <f>'Process improvement'!E34</f>
        <v>0</v>
      </c>
    </row>
    <row r="92" spans="1:1" x14ac:dyDescent="0.45">
      <c r="A92" s="17">
        <f>'Process improvement'!E35</f>
        <v>0</v>
      </c>
    </row>
    <row r="93" spans="1:1" x14ac:dyDescent="0.45">
      <c r="A93" s="17">
        <f>'Process improvement'!E36</f>
        <v>0</v>
      </c>
    </row>
    <row r="94" spans="1:1" x14ac:dyDescent="0.45">
      <c r="A94" s="17">
        <f>'Process improvement'!E37</f>
        <v>0</v>
      </c>
    </row>
    <row r="95" spans="1:1" x14ac:dyDescent="0.45">
      <c r="A95" s="17">
        <f>'Process improvement'!E38</f>
        <v>0</v>
      </c>
    </row>
    <row r="96" spans="1:1" x14ac:dyDescent="0.45">
      <c r="A96" s="17">
        <f>'Process improvement'!E39</f>
        <v>0</v>
      </c>
    </row>
    <row r="97" spans="1:1" x14ac:dyDescent="0.45">
      <c r="A97" s="17">
        <f>'Process improvement'!E40</f>
        <v>0</v>
      </c>
    </row>
    <row r="98" spans="1:1" x14ac:dyDescent="0.45">
      <c r="A98" s="17">
        <f>'Process improvement'!E41</f>
        <v>0</v>
      </c>
    </row>
    <row r="99" spans="1:1" x14ac:dyDescent="0.45">
      <c r="A99" s="17">
        <f>'Process improvement'!E42</f>
        <v>0</v>
      </c>
    </row>
    <row r="100" spans="1:1" x14ac:dyDescent="0.45">
      <c r="A100" s="17">
        <f>'Process improvement'!E43</f>
        <v>0</v>
      </c>
    </row>
    <row r="101" spans="1:1" x14ac:dyDescent="0.45">
      <c r="A101" s="17">
        <f>'Process improvement'!E44</f>
        <v>0</v>
      </c>
    </row>
    <row r="102" spans="1:1" x14ac:dyDescent="0.45">
      <c r="A102" s="17">
        <f>'Process improvement'!E45</f>
        <v>0</v>
      </c>
    </row>
    <row r="103" spans="1:1" x14ac:dyDescent="0.45">
      <c r="A103" s="17">
        <f>'Process improvement'!E46</f>
        <v>0</v>
      </c>
    </row>
    <row r="104" spans="1:1" x14ac:dyDescent="0.45">
      <c r="A104" s="17">
        <f>'Process improvement'!E47</f>
        <v>0</v>
      </c>
    </row>
    <row r="105" spans="1:1" x14ac:dyDescent="0.45">
      <c r="A105" s="17">
        <f>'Process improvement'!E48</f>
        <v>0</v>
      </c>
    </row>
    <row r="106" spans="1:1" x14ac:dyDescent="0.45">
      <c r="A106" s="17">
        <f>'Process improvement'!F28</f>
        <v>0</v>
      </c>
    </row>
    <row r="107" spans="1:1" x14ac:dyDescent="0.45">
      <c r="A107" s="17">
        <f>'Process improvement'!F29</f>
        <v>0</v>
      </c>
    </row>
    <row r="108" spans="1:1" x14ac:dyDescent="0.45">
      <c r="A108" s="17">
        <f>'Process improvement'!F30</f>
        <v>0</v>
      </c>
    </row>
    <row r="109" spans="1:1" x14ac:dyDescent="0.45">
      <c r="A109" s="17">
        <f>'Process improvement'!F31</f>
        <v>0</v>
      </c>
    </row>
    <row r="110" spans="1:1" x14ac:dyDescent="0.45">
      <c r="A110" s="17">
        <f>'Process improvement'!F32</f>
        <v>0</v>
      </c>
    </row>
    <row r="111" spans="1:1" x14ac:dyDescent="0.45">
      <c r="A111" s="17">
        <f>'Process improvement'!F33</f>
        <v>0</v>
      </c>
    </row>
    <row r="112" spans="1:1" x14ac:dyDescent="0.45">
      <c r="A112" s="17">
        <f>'Process improvement'!F34</f>
        <v>0</v>
      </c>
    </row>
    <row r="113" spans="1:1" x14ac:dyDescent="0.45">
      <c r="A113" s="17">
        <f>'Process improvement'!F35</f>
        <v>0</v>
      </c>
    </row>
    <row r="114" spans="1:1" x14ac:dyDescent="0.45">
      <c r="A114" s="17">
        <f>'Process improvement'!F36</f>
        <v>0</v>
      </c>
    </row>
    <row r="115" spans="1:1" x14ac:dyDescent="0.45">
      <c r="A115" s="17">
        <f>'Process improvement'!F37</f>
        <v>0</v>
      </c>
    </row>
    <row r="116" spans="1:1" x14ac:dyDescent="0.45">
      <c r="A116" s="17">
        <f>'Process improvement'!F38</f>
        <v>0</v>
      </c>
    </row>
    <row r="117" spans="1:1" x14ac:dyDescent="0.45">
      <c r="A117" s="17">
        <f>'Process improvement'!F39</f>
        <v>0</v>
      </c>
    </row>
    <row r="118" spans="1:1" x14ac:dyDescent="0.45">
      <c r="A118" s="17">
        <f>'Process improvement'!F40</f>
        <v>0</v>
      </c>
    </row>
    <row r="119" spans="1:1" x14ac:dyDescent="0.45">
      <c r="A119" s="17">
        <f>'Process improvement'!F41</f>
        <v>0</v>
      </c>
    </row>
    <row r="120" spans="1:1" x14ac:dyDescent="0.45">
      <c r="A120" s="17">
        <f>'Process improvement'!F42</f>
        <v>0</v>
      </c>
    </row>
    <row r="121" spans="1:1" x14ac:dyDescent="0.45">
      <c r="A121" s="17">
        <f>'Process improvement'!F43</f>
        <v>0</v>
      </c>
    </row>
    <row r="122" spans="1:1" x14ac:dyDescent="0.45">
      <c r="A122" s="17">
        <f>'Process improvement'!F44</f>
        <v>0</v>
      </c>
    </row>
    <row r="123" spans="1:1" x14ac:dyDescent="0.45">
      <c r="A123" s="17">
        <f>'Process improvement'!F45</f>
        <v>0</v>
      </c>
    </row>
    <row r="124" spans="1:1" x14ac:dyDescent="0.45">
      <c r="A124" s="17">
        <f>'Process improvement'!F46</f>
        <v>0</v>
      </c>
    </row>
    <row r="125" spans="1:1" x14ac:dyDescent="0.45">
      <c r="A125" s="17">
        <f>'Process improvement'!F47</f>
        <v>0</v>
      </c>
    </row>
    <row r="126" spans="1:1" x14ac:dyDescent="0.45">
      <c r="A126" s="17">
        <f>'Process improvement'!F48</f>
        <v>0</v>
      </c>
    </row>
    <row r="127" spans="1:1" x14ac:dyDescent="0.45">
      <c r="A127" s="17">
        <f>'Process improvement'!A57</f>
        <v>0</v>
      </c>
    </row>
    <row r="128" spans="1:1" x14ac:dyDescent="0.45">
      <c r="A128" s="17">
        <f>'Process improvement'!A58</f>
        <v>0</v>
      </c>
    </row>
    <row r="129" spans="1:1" x14ac:dyDescent="0.45">
      <c r="A129" s="17">
        <f>'Process improvement'!A59</f>
        <v>0</v>
      </c>
    </row>
    <row r="130" spans="1:1" x14ac:dyDescent="0.45">
      <c r="A130" s="17">
        <f>'Process improvement'!A60</f>
        <v>0</v>
      </c>
    </row>
    <row r="131" spans="1:1" x14ac:dyDescent="0.45">
      <c r="A131" s="17">
        <f>'Process improvement'!A61</f>
        <v>0</v>
      </c>
    </row>
    <row r="132" spans="1:1" x14ac:dyDescent="0.45">
      <c r="A132" s="17">
        <f>'Process improvement'!A62</f>
        <v>0</v>
      </c>
    </row>
    <row r="133" spans="1:1" x14ac:dyDescent="0.45">
      <c r="A133" s="17">
        <f>'Process improvement'!A63</f>
        <v>0</v>
      </c>
    </row>
    <row r="134" spans="1:1" x14ac:dyDescent="0.45">
      <c r="A134" s="17">
        <f>'Process improvement'!A64</f>
        <v>0</v>
      </c>
    </row>
    <row r="135" spans="1:1" x14ac:dyDescent="0.45">
      <c r="A135" s="17">
        <f>'Process improvement'!A65</f>
        <v>0</v>
      </c>
    </row>
    <row r="136" spans="1:1" x14ac:dyDescent="0.45">
      <c r="A136" s="17">
        <f>'Process improvement'!A66</f>
        <v>0</v>
      </c>
    </row>
    <row r="137" spans="1:1" x14ac:dyDescent="0.45">
      <c r="A137" s="17">
        <f>'Process improvement'!A67</f>
        <v>0</v>
      </c>
    </row>
    <row r="138" spans="1:1" x14ac:dyDescent="0.45">
      <c r="A138" s="17">
        <f>'Process improvement'!A68</f>
        <v>0</v>
      </c>
    </row>
    <row r="139" spans="1:1" x14ac:dyDescent="0.45">
      <c r="A139" s="17">
        <f>'Process improvement'!A69</f>
        <v>0</v>
      </c>
    </row>
    <row r="140" spans="1:1" x14ac:dyDescent="0.45">
      <c r="A140" s="17">
        <f>'Process improvement'!A70</f>
        <v>0</v>
      </c>
    </row>
    <row r="141" spans="1:1" x14ac:dyDescent="0.45">
      <c r="A141" s="17">
        <f>'Process improvement'!A71</f>
        <v>0</v>
      </c>
    </row>
    <row r="142" spans="1:1" x14ac:dyDescent="0.45">
      <c r="A142" s="17">
        <f>'Process improvement'!A72</f>
        <v>0</v>
      </c>
    </row>
    <row r="143" spans="1:1" x14ac:dyDescent="0.45">
      <c r="A143" s="17">
        <f>'Process improvement'!A73</f>
        <v>0</v>
      </c>
    </row>
    <row r="144" spans="1:1" x14ac:dyDescent="0.45">
      <c r="A144" s="17">
        <f>'Process improvement'!A74</f>
        <v>0</v>
      </c>
    </row>
    <row r="145" spans="1:1" x14ac:dyDescent="0.45">
      <c r="A145" s="17">
        <f>'Process improvement'!A75</f>
        <v>0</v>
      </c>
    </row>
    <row r="146" spans="1:1" x14ac:dyDescent="0.45">
      <c r="A146" s="17">
        <f>'Process improvement'!A76</f>
        <v>0</v>
      </c>
    </row>
    <row r="147" spans="1:1" x14ac:dyDescent="0.45">
      <c r="A147" s="17">
        <f>'Process improvement'!A77</f>
        <v>0</v>
      </c>
    </row>
    <row r="148" spans="1:1" x14ac:dyDescent="0.45">
      <c r="A148" s="17">
        <f>'Process improvement'!A78</f>
        <v>0</v>
      </c>
    </row>
    <row r="149" spans="1:1" x14ac:dyDescent="0.45">
      <c r="A149" s="17">
        <f>'Process improvement'!A79</f>
        <v>0</v>
      </c>
    </row>
    <row r="150" spans="1:1" x14ac:dyDescent="0.45">
      <c r="A150" s="17">
        <f>'Process improvement'!A80</f>
        <v>0</v>
      </c>
    </row>
    <row r="151" spans="1:1" x14ac:dyDescent="0.45">
      <c r="A151" s="17">
        <f>'Process improvement'!A81</f>
        <v>0</v>
      </c>
    </row>
    <row r="152" spans="1:1" x14ac:dyDescent="0.45">
      <c r="A152" s="17">
        <f>'Process improvement'!B57</f>
        <v>0</v>
      </c>
    </row>
    <row r="153" spans="1:1" x14ac:dyDescent="0.45">
      <c r="A153" s="17">
        <f>'Process improvement'!B58</f>
        <v>0</v>
      </c>
    </row>
    <row r="154" spans="1:1" x14ac:dyDescent="0.45">
      <c r="A154" s="17">
        <f>'Process improvement'!B59</f>
        <v>0</v>
      </c>
    </row>
    <row r="155" spans="1:1" x14ac:dyDescent="0.45">
      <c r="A155" s="17">
        <f>'Process improvement'!B60</f>
        <v>0</v>
      </c>
    </row>
    <row r="156" spans="1:1" x14ac:dyDescent="0.45">
      <c r="A156" s="17">
        <f>'Process improvement'!B61</f>
        <v>0</v>
      </c>
    </row>
    <row r="157" spans="1:1" x14ac:dyDescent="0.45">
      <c r="A157" s="17">
        <f>'Process improvement'!B62</f>
        <v>0</v>
      </c>
    </row>
    <row r="158" spans="1:1" x14ac:dyDescent="0.45">
      <c r="A158" s="17">
        <f>'Process improvement'!B63</f>
        <v>0</v>
      </c>
    </row>
    <row r="159" spans="1:1" x14ac:dyDescent="0.45">
      <c r="A159" s="17">
        <f>'Process improvement'!B64</f>
        <v>0</v>
      </c>
    </row>
    <row r="160" spans="1:1" x14ac:dyDescent="0.45">
      <c r="A160" s="17">
        <f>'Process improvement'!B65</f>
        <v>0</v>
      </c>
    </row>
    <row r="161" spans="1:1" x14ac:dyDescent="0.45">
      <c r="A161" s="17">
        <f>'Process improvement'!B66</f>
        <v>0</v>
      </c>
    </row>
    <row r="162" spans="1:1" x14ac:dyDescent="0.45">
      <c r="A162" s="17">
        <f>'Process improvement'!B67</f>
        <v>0</v>
      </c>
    </row>
    <row r="163" spans="1:1" x14ac:dyDescent="0.45">
      <c r="A163" s="17">
        <f>'Process improvement'!B68</f>
        <v>0</v>
      </c>
    </row>
    <row r="164" spans="1:1" x14ac:dyDescent="0.45">
      <c r="A164" s="17">
        <f>'Process improvement'!B69</f>
        <v>0</v>
      </c>
    </row>
    <row r="165" spans="1:1" x14ac:dyDescent="0.45">
      <c r="A165" s="17">
        <f>'Process improvement'!B70</f>
        <v>0</v>
      </c>
    </row>
    <row r="166" spans="1:1" x14ac:dyDescent="0.45">
      <c r="A166" s="17">
        <f>'Process improvement'!B71</f>
        <v>0</v>
      </c>
    </row>
    <row r="167" spans="1:1" x14ac:dyDescent="0.45">
      <c r="A167" s="17">
        <f>'Process improvement'!B72</f>
        <v>0</v>
      </c>
    </row>
    <row r="168" spans="1:1" x14ac:dyDescent="0.45">
      <c r="A168" s="17">
        <f>'Process improvement'!B73</f>
        <v>0</v>
      </c>
    </row>
    <row r="169" spans="1:1" x14ac:dyDescent="0.45">
      <c r="A169" s="17">
        <f>'Process improvement'!B74</f>
        <v>0</v>
      </c>
    </row>
    <row r="170" spans="1:1" x14ac:dyDescent="0.45">
      <c r="A170" s="17">
        <f>'Process improvement'!B75</f>
        <v>0</v>
      </c>
    </row>
    <row r="171" spans="1:1" x14ac:dyDescent="0.45">
      <c r="A171" s="17">
        <f>'Process improvement'!B76</f>
        <v>0</v>
      </c>
    </row>
    <row r="172" spans="1:1" x14ac:dyDescent="0.45">
      <c r="A172" s="17">
        <f>'Process improvement'!B77</f>
        <v>0</v>
      </c>
    </row>
    <row r="173" spans="1:1" x14ac:dyDescent="0.45">
      <c r="A173" s="17">
        <f>'Process improvement'!B78</f>
        <v>0</v>
      </c>
    </row>
    <row r="174" spans="1:1" x14ac:dyDescent="0.45">
      <c r="A174" s="17">
        <f>'Process improvement'!B79</f>
        <v>0</v>
      </c>
    </row>
    <row r="175" spans="1:1" x14ac:dyDescent="0.45">
      <c r="A175" s="17">
        <f>'Process improvement'!B80</f>
        <v>0</v>
      </c>
    </row>
    <row r="176" spans="1:1" x14ac:dyDescent="0.45">
      <c r="A176" s="17">
        <f>'Process improvement'!B81</f>
        <v>0</v>
      </c>
    </row>
    <row r="177" spans="1:1" x14ac:dyDescent="0.45">
      <c r="A177" s="17">
        <f>'Process improvement'!C57</f>
        <v>0</v>
      </c>
    </row>
    <row r="178" spans="1:1" x14ac:dyDescent="0.45">
      <c r="A178" s="17">
        <f>'Process improvement'!C58</f>
        <v>0</v>
      </c>
    </row>
    <row r="179" spans="1:1" x14ac:dyDescent="0.45">
      <c r="A179" s="17">
        <f>'Process improvement'!C59</f>
        <v>0</v>
      </c>
    </row>
    <row r="180" spans="1:1" x14ac:dyDescent="0.45">
      <c r="A180" s="17">
        <f>'Process improvement'!C60</f>
        <v>0</v>
      </c>
    </row>
    <row r="181" spans="1:1" x14ac:dyDescent="0.45">
      <c r="A181" s="17">
        <f>'Process improvement'!C61</f>
        <v>0</v>
      </c>
    </row>
    <row r="182" spans="1:1" x14ac:dyDescent="0.45">
      <c r="A182" s="17">
        <f>'Process improvement'!C62</f>
        <v>0</v>
      </c>
    </row>
    <row r="183" spans="1:1" x14ac:dyDescent="0.45">
      <c r="A183" s="17">
        <f>'Process improvement'!C63</f>
        <v>0</v>
      </c>
    </row>
    <row r="184" spans="1:1" x14ac:dyDescent="0.45">
      <c r="A184" s="17">
        <f>'Process improvement'!C64</f>
        <v>0</v>
      </c>
    </row>
    <row r="185" spans="1:1" x14ac:dyDescent="0.45">
      <c r="A185" s="17">
        <f>'Process improvement'!C65</f>
        <v>0</v>
      </c>
    </row>
    <row r="186" spans="1:1" x14ac:dyDescent="0.45">
      <c r="A186" s="17">
        <f>'Process improvement'!C66</f>
        <v>0</v>
      </c>
    </row>
    <row r="187" spans="1:1" x14ac:dyDescent="0.45">
      <c r="A187" s="17">
        <f>'Process improvement'!C67</f>
        <v>0</v>
      </c>
    </row>
    <row r="188" spans="1:1" x14ac:dyDescent="0.45">
      <c r="A188" s="17">
        <f>'Process improvement'!C68</f>
        <v>0</v>
      </c>
    </row>
    <row r="189" spans="1:1" x14ac:dyDescent="0.45">
      <c r="A189" s="17">
        <f>'Process improvement'!C69</f>
        <v>0</v>
      </c>
    </row>
    <row r="190" spans="1:1" x14ac:dyDescent="0.45">
      <c r="A190" s="17">
        <f>'Process improvement'!C70</f>
        <v>0</v>
      </c>
    </row>
    <row r="191" spans="1:1" x14ac:dyDescent="0.45">
      <c r="A191" s="17">
        <f>'Process improvement'!C71</f>
        <v>0</v>
      </c>
    </row>
    <row r="192" spans="1:1" x14ac:dyDescent="0.45">
      <c r="A192" s="17">
        <f>'Process improvement'!C72</f>
        <v>0</v>
      </c>
    </row>
    <row r="193" spans="1:1" x14ac:dyDescent="0.45">
      <c r="A193" s="17">
        <f>'Process improvement'!C73</f>
        <v>0</v>
      </c>
    </row>
    <row r="194" spans="1:1" x14ac:dyDescent="0.45">
      <c r="A194" s="17">
        <f>'Process improvement'!C74</f>
        <v>0</v>
      </c>
    </row>
    <row r="195" spans="1:1" x14ac:dyDescent="0.45">
      <c r="A195" s="17">
        <f>'Process improvement'!C75</f>
        <v>0</v>
      </c>
    </row>
    <row r="196" spans="1:1" x14ac:dyDescent="0.45">
      <c r="A196" s="17">
        <f>'Process improvement'!C76</f>
        <v>0</v>
      </c>
    </row>
    <row r="197" spans="1:1" x14ac:dyDescent="0.45">
      <c r="A197" s="17">
        <f>'Process improvement'!C77</f>
        <v>0</v>
      </c>
    </row>
    <row r="198" spans="1:1" x14ac:dyDescent="0.45">
      <c r="A198" s="17">
        <f>'Process improvement'!C78</f>
        <v>0</v>
      </c>
    </row>
    <row r="199" spans="1:1" x14ac:dyDescent="0.45">
      <c r="A199" s="17">
        <f>'Process improvement'!C79</f>
        <v>0</v>
      </c>
    </row>
    <row r="200" spans="1:1" x14ac:dyDescent="0.45">
      <c r="A200" s="17">
        <f>'Process improvement'!C80</f>
        <v>0</v>
      </c>
    </row>
    <row r="201" spans="1:1" x14ac:dyDescent="0.45">
      <c r="A201" s="17">
        <f>'Process improvement'!C81</f>
        <v>0</v>
      </c>
    </row>
    <row r="202" spans="1:1" x14ac:dyDescent="0.45">
      <c r="A202" s="17">
        <f>'Process improvement'!D57</f>
        <v>0</v>
      </c>
    </row>
    <row r="203" spans="1:1" x14ac:dyDescent="0.45">
      <c r="A203" s="17">
        <f>'Process improvement'!D58</f>
        <v>0</v>
      </c>
    </row>
    <row r="204" spans="1:1" x14ac:dyDescent="0.45">
      <c r="A204" s="17">
        <f>'Process improvement'!D59</f>
        <v>0</v>
      </c>
    </row>
    <row r="205" spans="1:1" x14ac:dyDescent="0.45">
      <c r="A205" s="17">
        <f>'Process improvement'!D60</f>
        <v>0</v>
      </c>
    </row>
    <row r="206" spans="1:1" x14ac:dyDescent="0.45">
      <c r="A206" s="17">
        <f>'Process improvement'!D61</f>
        <v>0</v>
      </c>
    </row>
    <row r="207" spans="1:1" x14ac:dyDescent="0.45">
      <c r="A207" s="17">
        <f>'Process improvement'!D62</f>
        <v>0</v>
      </c>
    </row>
    <row r="208" spans="1:1" x14ac:dyDescent="0.45">
      <c r="A208" s="17">
        <f>'Process improvement'!D63</f>
        <v>0</v>
      </c>
    </row>
    <row r="209" spans="1:1" x14ac:dyDescent="0.45">
      <c r="A209" s="17">
        <f>'Process improvement'!D64</f>
        <v>0</v>
      </c>
    </row>
    <row r="210" spans="1:1" x14ac:dyDescent="0.45">
      <c r="A210" s="17">
        <f>'Process improvement'!D65</f>
        <v>0</v>
      </c>
    </row>
    <row r="211" spans="1:1" x14ac:dyDescent="0.45">
      <c r="A211" s="17">
        <f>'Process improvement'!D66</f>
        <v>0</v>
      </c>
    </row>
    <row r="212" spans="1:1" x14ac:dyDescent="0.45">
      <c r="A212" s="17">
        <f>'Process improvement'!D67</f>
        <v>0</v>
      </c>
    </row>
    <row r="213" spans="1:1" x14ac:dyDescent="0.45">
      <c r="A213" s="17">
        <f>'Process improvement'!D68</f>
        <v>0</v>
      </c>
    </row>
    <row r="214" spans="1:1" x14ac:dyDescent="0.45">
      <c r="A214" s="17">
        <f>'Process improvement'!D69</f>
        <v>0</v>
      </c>
    </row>
    <row r="215" spans="1:1" x14ac:dyDescent="0.45">
      <c r="A215" s="17">
        <f>'Process improvement'!D70</f>
        <v>0</v>
      </c>
    </row>
    <row r="216" spans="1:1" x14ac:dyDescent="0.45">
      <c r="A216" s="17">
        <f>'Process improvement'!D71</f>
        <v>0</v>
      </c>
    </row>
    <row r="217" spans="1:1" x14ac:dyDescent="0.45">
      <c r="A217" s="17">
        <f>'Process improvement'!D72</f>
        <v>0</v>
      </c>
    </row>
    <row r="218" spans="1:1" x14ac:dyDescent="0.45">
      <c r="A218" s="17">
        <f>'Process improvement'!D73</f>
        <v>0</v>
      </c>
    </row>
    <row r="219" spans="1:1" x14ac:dyDescent="0.45">
      <c r="A219" s="17">
        <f>'Process improvement'!D74</f>
        <v>0</v>
      </c>
    </row>
    <row r="220" spans="1:1" x14ac:dyDescent="0.45">
      <c r="A220" s="17">
        <f>'Process improvement'!D75</f>
        <v>0</v>
      </c>
    </row>
    <row r="221" spans="1:1" x14ac:dyDescent="0.45">
      <c r="A221" s="17">
        <f>'Process improvement'!D76</f>
        <v>0</v>
      </c>
    </row>
    <row r="222" spans="1:1" x14ac:dyDescent="0.45">
      <c r="A222" s="17">
        <f>'Process improvement'!D77</f>
        <v>0</v>
      </c>
    </row>
    <row r="223" spans="1:1" x14ac:dyDescent="0.45">
      <c r="A223" s="17">
        <f>'Process improvement'!D78</f>
        <v>0</v>
      </c>
    </row>
    <row r="224" spans="1:1" x14ac:dyDescent="0.45">
      <c r="A224" s="17">
        <f>'Process improvement'!D79</f>
        <v>0</v>
      </c>
    </row>
    <row r="225" spans="1:1" x14ac:dyDescent="0.45">
      <c r="A225" s="17">
        <f>'Process improvement'!D80</f>
        <v>0</v>
      </c>
    </row>
    <row r="226" spans="1:1" x14ac:dyDescent="0.45">
      <c r="A226" s="17">
        <f>'Process improvement'!D81</f>
        <v>0</v>
      </c>
    </row>
    <row r="227" spans="1:1" x14ac:dyDescent="0.45">
      <c r="A227" s="17">
        <f>'Process improvement'!E57</f>
        <v>0</v>
      </c>
    </row>
    <row r="228" spans="1:1" x14ac:dyDescent="0.45">
      <c r="A228" s="17">
        <f>'Process improvement'!E58</f>
        <v>0</v>
      </c>
    </row>
    <row r="229" spans="1:1" x14ac:dyDescent="0.45">
      <c r="A229" s="17">
        <f>'Process improvement'!E59</f>
        <v>0</v>
      </c>
    </row>
    <row r="230" spans="1:1" x14ac:dyDescent="0.45">
      <c r="A230" s="17">
        <f>'Process improvement'!E60</f>
        <v>0</v>
      </c>
    </row>
    <row r="231" spans="1:1" x14ac:dyDescent="0.45">
      <c r="A231" s="17">
        <f>'Process improvement'!E61</f>
        <v>0</v>
      </c>
    </row>
    <row r="232" spans="1:1" x14ac:dyDescent="0.45">
      <c r="A232" s="17">
        <f>'Process improvement'!E62</f>
        <v>0</v>
      </c>
    </row>
    <row r="233" spans="1:1" x14ac:dyDescent="0.45">
      <c r="A233" s="17">
        <f>'Process improvement'!E63</f>
        <v>0</v>
      </c>
    </row>
    <row r="234" spans="1:1" x14ac:dyDescent="0.45">
      <c r="A234" s="17">
        <f>'Process improvement'!E64</f>
        <v>0</v>
      </c>
    </row>
    <row r="235" spans="1:1" x14ac:dyDescent="0.45">
      <c r="A235" s="17">
        <f>'Process improvement'!E65</f>
        <v>0</v>
      </c>
    </row>
    <row r="236" spans="1:1" x14ac:dyDescent="0.45">
      <c r="A236" s="17">
        <f>'Process improvement'!E66</f>
        <v>0</v>
      </c>
    </row>
    <row r="237" spans="1:1" x14ac:dyDescent="0.45">
      <c r="A237" s="17">
        <f>'Process improvement'!E67</f>
        <v>0</v>
      </c>
    </row>
    <row r="238" spans="1:1" x14ac:dyDescent="0.45">
      <c r="A238" s="17">
        <f>'Process improvement'!E68</f>
        <v>0</v>
      </c>
    </row>
    <row r="239" spans="1:1" x14ac:dyDescent="0.45">
      <c r="A239" s="17">
        <f>'Process improvement'!E69</f>
        <v>0</v>
      </c>
    </row>
    <row r="240" spans="1:1" x14ac:dyDescent="0.45">
      <c r="A240" s="17">
        <f>'Process improvement'!E70</f>
        <v>0</v>
      </c>
    </row>
    <row r="241" spans="1:1" x14ac:dyDescent="0.45">
      <c r="A241" s="17">
        <f>'Process improvement'!E71</f>
        <v>0</v>
      </c>
    </row>
    <row r="242" spans="1:1" x14ac:dyDescent="0.45">
      <c r="A242" s="17">
        <f>'Process improvement'!E72</f>
        <v>0</v>
      </c>
    </row>
    <row r="243" spans="1:1" x14ac:dyDescent="0.45">
      <c r="A243" s="17">
        <f>'Process improvement'!E73</f>
        <v>0</v>
      </c>
    </row>
    <row r="244" spans="1:1" x14ac:dyDescent="0.45">
      <c r="A244" s="17">
        <f>'Process improvement'!E74</f>
        <v>0</v>
      </c>
    </row>
    <row r="245" spans="1:1" x14ac:dyDescent="0.45">
      <c r="A245" s="17">
        <f>'Process improvement'!E75</f>
        <v>0</v>
      </c>
    </row>
    <row r="246" spans="1:1" x14ac:dyDescent="0.45">
      <c r="A246" s="17">
        <f>'Process improvement'!E76</f>
        <v>0</v>
      </c>
    </row>
    <row r="247" spans="1:1" x14ac:dyDescent="0.45">
      <c r="A247" s="17">
        <f>'Process improvement'!E77</f>
        <v>0</v>
      </c>
    </row>
    <row r="248" spans="1:1" x14ac:dyDescent="0.45">
      <c r="A248" s="17">
        <f>'Process improvement'!E78</f>
        <v>0</v>
      </c>
    </row>
    <row r="249" spans="1:1" x14ac:dyDescent="0.45">
      <c r="A249" s="17">
        <f>'Process improvement'!E79</f>
        <v>0</v>
      </c>
    </row>
    <row r="250" spans="1:1" x14ac:dyDescent="0.45">
      <c r="A250" s="17">
        <f>'Process improvement'!E80</f>
        <v>0</v>
      </c>
    </row>
    <row r="251" spans="1:1" x14ac:dyDescent="0.45">
      <c r="A251" s="17">
        <f>'Process improvement'!E81</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15691-A0CB-4FA9-9BD9-768280545C8C}">
  <sheetPr codeName="Blad6"/>
  <dimension ref="A1:B15"/>
  <sheetViews>
    <sheetView workbookViewId="0">
      <selection activeCell="A5" sqref="A5"/>
    </sheetView>
  </sheetViews>
  <sheetFormatPr defaultRowHeight="14.25" x14ac:dyDescent="0.45"/>
  <sheetData>
    <row r="1" spans="1:2" x14ac:dyDescent="0.45">
      <c r="A1" s="17">
        <f>IF('Process improvement'!B7="",0,IF('Process improvement'!B7="Level 1 - Beginner",1,IF('Process improvement'!B7="Level 2 - Intermediate",2,IF('Process improvement'!B7="Level 3 - Advanced",3))))</f>
        <v>0</v>
      </c>
      <c r="B1" s="17">
        <f>IF('Process improvement'!C7="",0,IF('Process improvement'!C7="Level 1 - Beginner",1,IF('Process improvement'!C7="Level 2 - Intermediate",2,IF('Process improvement'!C7="Level 3 - Advanced",3))))</f>
        <v>0</v>
      </c>
    </row>
    <row r="2" spans="1:2" x14ac:dyDescent="0.45">
      <c r="A2" s="17">
        <f>IF('Process improvement'!B8="",0,IF('Process improvement'!B8="Level 1 - Beginner",1,IF('Process improvement'!B8="Level 2 - Intermediate",2,IF('Process improvement'!B8="Level 3 - Advanced",3))))</f>
        <v>0</v>
      </c>
      <c r="B2" s="17">
        <f>IF('Process improvement'!C8="",0,IF('Process improvement'!C8="Level 1 - Beginner",1,IF('Process improvement'!C8="Level 2 - Intermediate",2,IF('Process improvement'!C8="Level 3 - Advanced",3))))</f>
        <v>0</v>
      </c>
    </row>
    <row r="3" spans="1:2" x14ac:dyDescent="0.45">
      <c r="A3" s="17">
        <f>IF('Process improvement'!B9="",0,IF('Process improvement'!B9="Level 1 - Beginner",1,IF('Process improvement'!B9="Level 2 - Intermediate",2,IF('Process improvement'!B9="Level 3 - Advanced",3))))</f>
        <v>0</v>
      </c>
      <c r="B3" s="17">
        <f>IF('Process improvement'!C9="",0,IF('Process improvement'!C9="Level 1 - Beginner",1,IF('Process improvement'!C9="Level 2 - Intermediate",2,IF('Process improvement'!C9="Level 3 - Advanced",3))))</f>
        <v>0</v>
      </c>
    </row>
    <row r="4" spans="1:2" x14ac:dyDescent="0.45">
      <c r="A4" s="17">
        <f>IF('Process improvement'!B10="",0,IF('Process improvement'!B10="Level 1 - Beginner",1,IF('Process improvement'!B10="Level 2 - Intermediate",2,IF('Process improvement'!B10="Level 3 - Advanced",3))))</f>
        <v>0</v>
      </c>
      <c r="B4" s="17">
        <f>IF('Process improvement'!C10="",0,IF('Process improvement'!C10="Level 1 - Beginner",1,IF('Process improvement'!C10="Level 2 - Intermediate",2,IF('Process improvement'!C10="Level 3 - Advanced",3))))</f>
        <v>0</v>
      </c>
    </row>
    <row r="5" spans="1:2" x14ac:dyDescent="0.45">
      <c r="A5" s="17">
        <f>IF('Process improvement'!B11="",0,IF('Process improvement'!B11="Level 1 - Beginner",1,IF('Process improvement'!B11="Level 2 - Intermediate",2,IF('Process improvement'!B11="Level 3 - Advanced",3))))</f>
        <v>0</v>
      </c>
      <c r="B5" s="17">
        <f>IF('Process improvement'!C11="",0,IF('Process improvement'!C11="Level 1 - Beginner",1,IF('Process improvement'!C11="Level 2 - Intermediate",2,IF('Process improvement'!C11="Level 3 - Advanced",3))))</f>
        <v>0</v>
      </c>
    </row>
    <row r="6" spans="1:2" x14ac:dyDescent="0.45">
      <c r="A6" s="17">
        <f>IF('Process improvement'!B12="",0,IF('Process improvement'!B12="Level 1 - Beginner",1,IF('Process improvement'!B12="Level 2 - Intermediate",2,IF('Process improvement'!B12="Level 3 - Advanced",3))))</f>
        <v>0</v>
      </c>
      <c r="B6" s="17">
        <f>IF('Process improvement'!C12="",0,IF('Process improvement'!C12="Level 1 - Beginner",1,IF('Process improvement'!C12="Level 2 - Intermediate",2,IF('Process improvement'!C12="Level 3 - Advanced",3))))</f>
        <v>0</v>
      </c>
    </row>
    <row r="9" spans="1:2" x14ac:dyDescent="0.45">
      <c r="A9" s="17">
        <f>IF('Assessment report'!B15="",0,IF('Assessment report'!B15="Level 1 - Beginner",1,IF('Assessment report'!B15="Level 2 - Intermediate",2,IF('Assessment report'!B15="Level 3 - Advanced",3))))</f>
        <v>0</v>
      </c>
    </row>
    <row r="10" spans="1:2" x14ac:dyDescent="0.45">
      <c r="A10" s="17">
        <f>IF('Assessment report'!B16="",0,IF('Assessment report'!B16="Level 1 - Beginner",1,IF('Assessment report'!B16="Level 2 - Intermediate",2,IF('Assessment report'!B16="Level 3 - Advanced",3))))</f>
        <v>0</v>
      </c>
    </row>
    <row r="11" spans="1:2" x14ac:dyDescent="0.45">
      <c r="A11" s="17">
        <f>IF('Assessment report'!B17="",0,IF('Assessment report'!B17="Level 1 - Beginner",1,IF('Assessment report'!B17="Level 2 - Intermediate",2,IF('Assessment report'!B17="Level 3 - Advanced",3))))</f>
        <v>0</v>
      </c>
    </row>
    <row r="12" spans="1:2" x14ac:dyDescent="0.45">
      <c r="A12" s="17">
        <f>IF('Assessment report'!B18="",0,IF('Assessment report'!B18="Level 1 - Beginner",1,IF('Assessment report'!B18="Level 2 - Intermediate",2,IF('Assessment report'!B18="Level 3 - Advanced",3))))</f>
        <v>0</v>
      </c>
    </row>
    <row r="13" spans="1:2" x14ac:dyDescent="0.45">
      <c r="A13" s="17">
        <f>IF('Assessment report'!B19="",0,IF('Assessment report'!B19="Level 1 - Beginner",1,IF('Assessment report'!B19="Level 2 - Intermediate",2,IF('Assessment report'!B19="Level 3 - Advanced",3))))</f>
        <v>0</v>
      </c>
    </row>
    <row r="14" spans="1:2" x14ac:dyDescent="0.45">
      <c r="A14" s="17">
        <f>IF('Assessment report'!B20="",0,IF('Assessment report'!B20="Level 1 - Beginner",1,IF('Assessment report'!B20="Level 2 - Intermediate",2,IF('Assessment report'!B20="Level 3 - Advanced",3))))</f>
        <v>0</v>
      </c>
    </row>
    <row r="15" spans="1:2" x14ac:dyDescent="0.45">
      <c r="A15"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7</vt:i4>
      </vt:variant>
      <vt:variant>
        <vt:lpstr>Benoemde bereiken</vt:lpstr>
      </vt:variant>
      <vt:variant>
        <vt:i4>5</vt:i4>
      </vt:variant>
    </vt:vector>
  </HeadingPairs>
  <TitlesOfParts>
    <vt:vector size="12" baseType="lpstr">
      <vt:lpstr>Introduction</vt:lpstr>
      <vt:lpstr>Domain repres. assessment</vt:lpstr>
      <vt:lpstr>Maturity repres. assessment</vt:lpstr>
      <vt:lpstr>Domain repres. adoption</vt:lpstr>
      <vt:lpstr>Maturity repres. adoption</vt:lpstr>
      <vt:lpstr>Assessment report</vt:lpstr>
      <vt:lpstr>Process improvement</vt:lpstr>
      <vt:lpstr>'Domain repres. adoption'!adoptionAssessmentDomain</vt:lpstr>
      <vt:lpstr>adoptionAssessmentDomain</vt:lpstr>
      <vt:lpstr>'Domain repres. adoption'!Afdrukbereik</vt:lpstr>
      <vt:lpstr>'Domain repres. assessment'!Afdrukbereik</vt:lpstr>
      <vt:lpstr>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Ceyhan Deve</dc:creator>
  <cp:lastModifiedBy>Ceyhan Deve</cp:lastModifiedBy>
  <dcterms:created xsi:type="dcterms:W3CDTF">2022-05-18T19:26:31Z</dcterms:created>
  <dcterms:modified xsi:type="dcterms:W3CDTF">2024-01-22T16:54:56Z</dcterms:modified>
</cp:coreProperties>
</file>